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15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<sst xmlns="http://schemas.openxmlformats.org/spreadsheetml/2006/main" count="371" uniqueCount="177">
  <si>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</si>
  <si>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</si>
  <si>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</si>
  <si>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</si>
  <si>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</si>
  <si>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</si>
  <si>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</si>
  <si>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</si>
  <si>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</si>
  <si>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</si>
  <si>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</si>
  <si>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</si>
  <si>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</si>
  <si>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</si>
  <si>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</si>
  <si>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</si>
  <si>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</si>
  <si>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</si>
  <si>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</si>
  <si>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</si>
  <si>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</si>
  <si>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</si>
  <si>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</si>
  <si>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</si>
  <si>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</si>
  <si>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</si>
  <si>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</si>
  <si>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</si>
  <si>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</si>
  <si>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</si>
  <si>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</si>
  <si>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</si>
  <si>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</si>
  <si>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</si>
  <si>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</si>
  <si>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</si>
  <si>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</si>
  <si>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</si>
  <si>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</si>
  <si>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</si>
  <si>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</si>
  <si>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</si>
  <si>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</si>
  <si>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</si>
  <si>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</si>
  <si>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</si>
  <si>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</si>
  <si>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</si>
  <si>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</si>
  <si>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</si>
  <si>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</si>
  <si>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</si>
  <si>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</si>
  <si>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</si>
  <si>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</si>
  <si>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</si>
  <si>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</si>
  <si>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</si>
  <si>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</si>
  <si>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</si>
  <si>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</si>
  <si>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</si>
  <si>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</si>
  <si>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</si>
  <si>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</si>
  <si>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</si>
  <si>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</si>
  <si>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</si>
  <si>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</si>
  <si>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</si>
  <si>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</si>
  <si>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</si>
  <si>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</si>
  <si>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</si>
  <si>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</si>
  <si>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</si>
  <si>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</si>
  <si>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</si>
  <si>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</si>
  <si>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</si>
  <si>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</si>
  <si>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</si>
  <si>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</si>
  <si>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</si>
  <si>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</si>
  <si>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</si>
  <si>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</si>
  <si>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</si>
  <si>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</si>
  <si>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</si>
  <si>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</si>
  <si>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</si>
  <si>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</si>
  <si>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</si>
  <si>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</si>
  <si>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</si>
  <si>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</si>
  <si>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</si>
  <si>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</si>
  <si>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</si>
  <si>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</si>
  <si>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</si>
  <si>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</si>
  <si>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</si>
  <si>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</si>
  <si>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</si>
  <si>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</si>
  <si>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</si>
  <si>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</si>
  <si>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</si>
  <si>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</si>
  <si>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</si>
  <si>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</si>
  <si>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</si>
  <si>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</si>
  <si>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</si>
  <si>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</si>
  <si>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</si>
  <si>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</si>
  <si>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</si>
  <si>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</si>
  <si>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</si>
  <si>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</si>
  <si>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</si>
  <si>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</si>
  <si>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</si>
  <si>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</si>
  <si>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</si>
  <si>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</si>
  <si>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</si>
  <si>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</si>
  <si>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</si>
  <si>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</si>
  <si>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</si>
  <si>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</si>
  <si>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</si>
  <si>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</si>
  <si>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</si>
  <si>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</si>
  <si>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</si>
  <si>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</si>
  <si>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</si>
  <si>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</si>
  <si>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</si>
  <si>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</si>
  <si>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</si>
  <si>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</si>
  <si>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</si>
  <si>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</si>
  <si>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</si>
  <si>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</si>
  <si>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</si>
  <si>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</si>
  <si>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</si>
  <si>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</si>
  <si>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</si>
  <si>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</si>
  <si>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</si>
  <si>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</si>
  <si>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</si>
  <si>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</si>
  <si>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</si>
  <si>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</si>
  <si>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</si>
  <si>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</si>
  <si>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</si>
  <si>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</si>
  <si>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</si>
  <si>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</si>
  <si>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</si>
  <si>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</si>
  <si>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</si>
  <si>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</si>
  <si>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字帖-英语</t>
  </si>
  <si>
    <t>Python</t>
    <phoneticPr fontId="4" type="noConversion"/>
  </si>
  <si>
    <t>Python爬虫学习</t>
  </si>
  <si>
    <t>Python爬虫学习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</si>
</sst>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3.767399074073" createdVersion="5" refreshedVersion="6" minRefreshableVersion="3" recordCount="110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6T00:00:00" count="47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0" maxValue="53"/>
    </cacheField>
    <cacheField name="时长" numFmtId="176">
      <sharedItems containsNonDate="0" containsDate="1" containsString="0" containsBlank="1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3.767399884258" createdVersion="6" refreshedVersion="6" minRefreshableVersion="3" recordCount="51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7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">
  <r>
    <x v="0"/>
    <x v="0"/>
    <x v="0"/>
    <n v="53"/>
    <d v="1899-12-30T01:00:00"/>
    <m/>
    <m/>
    <m/>
  </r>
  <r>
    <x v="0"/>
    <x v="1"/>
    <x v="1"/>
    <n v="53"/>
    <d v="1899-12-30T01:30:00"/>
    <m/>
    <m/>
    <m/>
  </r>
  <r>
    <x v="1"/>
    <x v="2"/>
    <x v="2"/>
    <n v="52"/>
    <d v="1899-12-30T02:25:00"/>
    <m/>
    <d v="1899-12-30T00:00:00"/>
    <d v="1899-12-30T02:25:00"/>
  </r>
  <r>
    <x v="2"/>
    <x v="3"/>
    <x v="3"/>
    <n v="51"/>
    <d v="1899-12-30T00:21:00"/>
    <m/>
    <d v="1899-12-30T12:45:00"/>
    <d v="1899-12-30T13:06:00"/>
  </r>
  <r>
    <x v="3"/>
    <x v="0"/>
    <x v="0"/>
    <n v="50"/>
    <d v="1899-12-30T01:00:00"/>
    <m/>
    <m/>
    <m/>
  </r>
  <r>
    <x v="3"/>
    <x v="1"/>
    <x v="1"/>
    <n v="50"/>
    <d v="1899-12-30T01:00:00"/>
    <m/>
    <m/>
    <m/>
  </r>
  <r>
    <x v="4"/>
    <x v="0"/>
    <x v="0"/>
    <n v="49"/>
    <d v="1899-12-30T01:30:00"/>
    <m/>
    <m/>
    <m/>
  </r>
  <r>
    <x v="4"/>
    <x v="2"/>
    <x v="4"/>
    <n v="49"/>
    <d v="1899-12-30T00:30:00"/>
    <m/>
    <m/>
    <m/>
  </r>
  <r>
    <x v="5"/>
    <x v="0"/>
    <x v="0"/>
    <n v="48"/>
    <d v="1899-12-30T00:45:00"/>
    <m/>
    <m/>
    <m/>
  </r>
  <r>
    <x v="5"/>
    <x v="1"/>
    <x v="5"/>
    <n v="48"/>
    <d v="1899-12-30T01:05:00"/>
    <m/>
    <m/>
    <m/>
  </r>
  <r>
    <x v="6"/>
    <x v="0"/>
    <x v="0"/>
    <n v="47"/>
    <d v="1899-12-30T01:00:00"/>
    <m/>
    <m/>
    <m/>
  </r>
  <r>
    <x v="7"/>
    <x v="0"/>
    <x v="0"/>
    <n v="46"/>
    <d v="1899-12-30T01:00:00"/>
    <m/>
    <m/>
    <m/>
  </r>
  <r>
    <x v="8"/>
    <x v="2"/>
    <x v="6"/>
    <n v="45"/>
    <d v="1899-12-30T00:53:00"/>
    <m/>
    <d v="1899-12-30T14:37:00"/>
    <d v="1899-12-30T15:30:00"/>
  </r>
  <r>
    <x v="9"/>
    <x v="4"/>
    <x v="7"/>
    <n v="43"/>
    <d v="1899-12-30T00:45:00"/>
    <m/>
    <m/>
    <m/>
  </r>
  <r>
    <x v="10"/>
    <x v="0"/>
    <x v="0"/>
    <n v="42"/>
    <d v="1899-12-30T01:00:00"/>
    <m/>
    <m/>
    <m/>
  </r>
  <r>
    <x v="10"/>
    <x v="4"/>
    <x v="7"/>
    <n v="42"/>
    <d v="1899-12-30T00:30:00"/>
    <m/>
    <m/>
    <m/>
  </r>
  <r>
    <x v="11"/>
    <x v="0"/>
    <x v="0"/>
    <n v="41"/>
    <d v="1899-12-30T01:00:00"/>
    <m/>
    <m/>
    <m/>
  </r>
  <r>
    <x v="11"/>
    <x v="4"/>
    <x v="7"/>
    <n v="41"/>
    <d v="1899-12-30T00:30:00"/>
    <m/>
    <m/>
    <m/>
  </r>
  <r>
    <x v="11"/>
    <x v="1"/>
    <x v="1"/>
    <n v="41"/>
    <d v="1899-12-30T01:00:00"/>
    <m/>
    <m/>
    <m/>
  </r>
  <r>
    <x v="11"/>
    <x v="1"/>
    <x v="5"/>
    <n v="41"/>
    <d v="1899-12-30T01:30:00"/>
    <m/>
    <m/>
    <m/>
  </r>
  <r>
    <x v="11"/>
    <x v="5"/>
    <x v="8"/>
    <n v="41"/>
    <d v="1899-12-30T01:04:00"/>
    <m/>
    <d v="1899-12-30T19:41:00"/>
    <d v="1899-12-30T20:45:00"/>
  </r>
  <r>
    <x v="12"/>
    <x v="0"/>
    <x v="0"/>
    <n v="40"/>
    <d v="1899-12-30T01:10:00"/>
    <m/>
    <m/>
    <m/>
  </r>
  <r>
    <x v="12"/>
    <x v="5"/>
    <x v="9"/>
    <n v="40"/>
    <d v="1899-12-30T00:30:00"/>
    <m/>
    <m/>
    <m/>
  </r>
  <r>
    <x v="12"/>
    <x v="2"/>
    <x v="10"/>
    <n v="40"/>
    <d v="1899-12-30T01:00:00"/>
    <m/>
    <m/>
    <m/>
  </r>
  <r>
    <x v="13"/>
    <x v="0"/>
    <x v="0"/>
    <n v="39"/>
    <d v="1899-12-30T01:00:00"/>
    <m/>
    <m/>
    <m/>
  </r>
  <r>
    <x v="13"/>
    <x v="4"/>
    <x v="7"/>
    <n v="39"/>
    <d v="1899-12-30T00:45:00"/>
    <m/>
    <m/>
    <m/>
  </r>
  <r>
    <x v="13"/>
    <x v="2"/>
    <x v="10"/>
    <n v="39"/>
    <d v="1899-12-30T01:00:00"/>
    <m/>
    <m/>
    <m/>
  </r>
  <r>
    <x v="14"/>
    <x v="5"/>
    <x v="9"/>
    <n v="38"/>
    <d v="1899-12-30T00:30:00"/>
    <m/>
    <m/>
    <m/>
  </r>
  <r>
    <x v="14"/>
    <x v="2"/>
    <x v="10"/>
    <n v="38"/>
    <d v="1899-12-30T02:30:00"/>
    <m/>
    <m/>
    <m/>
  </r>
  <r>
    <x v="15"/>
    <x v="1"/>
    <x v="1"/>
    <n v="37"/>
    <d v="1899-12-30T00:45:00"/>
    <m/>
    <m/>
    <m/>
  </r>
  <r>
    <x v="15"/>
    <x v="1"/>
    <x v="5"/>
    <n v="37"/>
    <d v="1899-12-30T00:30:00"/>
    <m/>
    <m/>
    <m/>
  </r>
  <r>
    <x v="15"/>
    <x v="5"/>
    <x v="9"/>
    <n v="37"/>
    <d v="1899-12-30T00:45:00"/>
    <s v="初步了解mathematica"/>
    <m/>
    <m/>
  </r>
  <r>
    <x v="16"/>
    <x v="2"/>
    <x v="10"/>
    <n v="36"/>
    <d v="1899-12-30T01:00:00"/>
    <m/>
    <m/>
    <m/>
  </r>
  <r>
    <x v="16"/>
    <x v="0"/>
    <x v="0"/>
    <n v="36"/>
    <d v="1899-12-30T01:00:00"/>
    <m/>
    <m/>
    <m/>
  </r>
  <r>
    <x v="16"/>
    <x v="4"/>
    <x v="7"/>
    <n v="36"/>
    <d v="1899-12-30T00:30:00"/>
    <m/>
    <m/>
    <m/>
  </r>
  <r>
    <x v="16"/>
    <x v="6"/>
    <x v="11"/>
    <n v="36"/>
    <d v="1899-12-30T01:15:00"/>
    <m/>
    <m/>
    <m/>
  </r>
  <r>
    <x v="17"/>
    <x v="0"/>
    <x v="0"/>
    <n v="35"/>
    <d v="1899-12-30T00:30:00"/>
    <s v="第24讲是宏表函数，觉得并没有什么用，没怎么看"/>
    <m/>
    <m/>
  </r>
  <r>
    <x v="17"/>
    <x v="4"/>
    <x v="7"/>
    <n v="35"/>
    <d v="1899-12-30T00:30:00"/>
    <m/>
    <m/>
    <m/>
  </r>
  <r>
    <x v="18"/>
    <x v="0"/>
    <x v="12"/>
    <n v="34"/>
    <d v="1899-12-30T01:00:00"/>
    <m/>
    <m/>
    <m/>
  </r>
  <r>
    <x v="18"/>
    <x v="6"/>
    <x v="11"/>
    <n v="34"/>
    <d v="1899-12-30T00:45:00"/>
    <m/>
    <m/>
    <m/>
  </r>
  <r>
    <x v="19"/>
    <x v="6"/>
    <x v="11"/>
    <n v="33"/>
    <d v="1899-12-30T01:00:00"/>
    <m/>
    <m/>
    <m/>
  </r>
  <r>
    <x v="19"/>
    <x v="4"/>
    <x v="7"/>
    <n v="33"/>
    <d v="1899-12-30T00:40:00"/>
    <m/>
    <m/>
    <m/>
  </r>
  <r>
    <x v="20"/>
    <x v="6"/>
    <x v="11"/>
    <n v="32"/>
    <d v="1899-12-30T01:10:00"/>
    <m/>
    <m/>
    <m/>
  </r>
  <r>
    <x v="20"/>
    <x v="4"/>
    <x v="7"/>
    <n v="32"/>
    <d v="1899-12-30T00:30:00"/>
    <m/>
    <m/>
    <m/>
  </r>
  <r>
    <x v="21"/>
    <x v="2"/>
    <x v="13"/>
    <n v="30"/>
    <d v="1899-12-30T02:00:00"/>
    <m/>
    <m/>
    <m/>
  </r>
  <r>
    <x v="22"/>
    <x v="4"/>
    <x v="7"/>
    <n v="29"/>
    <d v="1899-12-30T00:30:00"/>
    <m/>
    <m/>
    <m/>
  </r>
  <r>
    <x v="22"/>
    <x v="0"/>
    <x v="12"/>
    <n v="29"/>
    <d v="1899-12-30T01:00:00"/>
    <m/>
    <m/>
    <m/>
  </r>
  <r>
    <x v="22"/>
    <x v="6"/>
    <x v="11"/>
    <n v="29"/>
    <d v="1899-12-30T00:30:00"/>
    <m/>
    <m/>
    <m/>
  </r>
  <r>
    <x v="22"/>
    <x v="2"/>
    <x v="13"/>
    <n v="29"/>
    <d v="1899-12-30T01:00:00"/>
    <m/>
    <m/>
    <m/>
  </r>
  <r>
    <x v="22"/>
    <x v="2"/>
    <x v="13"/>
    <n v="29"/>
    <d v="1899-12-30T00:30:00"/>
    <m/>
    <m/>
    <m/>
  </r>
  <r>
    <x v="23"/>
    <x v="6"/>
    <x v="11"/>
    <n v="28"/>
    <d v="1899-12-30T00:45:00"/>
    <m/>
    <m/>
    <m/>
  </r>
  <r>
    <x v="23"/>
    <x v="4"/>
    <x v="7"/>
    <n v="28"/>
    <d v="1899-12-30T00:30:00"/>
    <m/>
    <m/>
    <m/>
  </r>
  <r>
    <x v="23"/>
    <x v="0"/>
    <x v="12"/>
    <n v="28"/>
    <d v="1899-12-30T00:45:00"/>
    <m/>
    <m/>
    <m/>
  </r>
  <r>
    <x v="23"/>
    <x v="2"/>
    <x v="14"/>
    <n v="28"/>
    <d v="1899-12-30T01:00:00"/>
    <m/>
    <m/>
    <m/>
  </r>
  <r>
    <x v="24"/>
    <x v="6"/>
    <x v="11"/>
    <n v="27"/>
    <d v="1899-12-30T00:45:00"/>
    <m/>
    <m/>
    <m/>
  </r>
  <r>
    <x v="24"/>
    <x v="4"/>
    <x v="7"/>
    <n v="27"/>
    <d v="1899-12-30T00:30:00"/>
    <m/>
    <m/>
    <m/>
  </r>
  <r>
    <x v="24"/>
    <x v="2"/>
    <x v="13"/>
    <n v="27"/>
    <d v="1899-12-30T00:30:00"/>
    <m/>
    <m/>
    <m/>
  </r>
  <r>
    <x v="25"/>
    <x v="2"/>
    <x v="13"/>
    <n v="26"/>
    <d v="1899-12-30T01:15:00"/>
    <m/>
    <m/>
    <m/>
  </r>
  <r>
    <x v="25"/>
    <x v="6"/>
    <x v="11"/>
    <n v="26"/>
    <d v="1899-12-30T00:30:00"/>
    <m/>
    <m/>
    <m/>
  </r>
  <r>
    <x v="25"/>
    <x v="5"/>
    <x v="9"/>
    <n v="26"/>
    <d v="1899-12-30T00:45:00"/>
    <m/>
    <m/>
    <m/>
  </r>
  <r>
    <x v="25"/>
    <x v="4"/>
    <x v="7"/>
    <n v="26"/>
    <d v="1899-12-30T00:45:00"/>
    <m/>
    <m/>
    <m/>
  </r>
  <r>
    <x v="25"/>
    <x v="0"/>
    <x v="12"/>
    <n v="26"/>
    <d v="1899-12-30T01:00:00"/>
    <m/>
    <m/>
    <m/>
  </r>
  <r>
    <x v="25"/>
    <x v="2"/>
    <x v="14"/>
    <n v="26"/>
    <d v="1899-12-30T02:00:00"/>
    <m/>
    <m/>
    <m/>
  </r>
  <r>
    <x v="26"/>
    <x v="6"/>
    <x v="11"/>
    <n v="25"/>
    <d v="1899-12-30T00:50:00"/>
    <m/>
    <m/>
    <m/>
  </r>
  <r>
    <x v="26"/>
    <x v="4"/>
    <x v="7"/>
    <n v="25"/>
    <d v="1899-12-30T00:40:00"/>
    <m/>
    <m/>
    <m/>
  </r>
  <r>
    <x v="26"/>
    <x v="2"/>
    <x v="10"/>
    <n v="25"/>
    <d v="1899-12-30T00:40:00"/>
    <m/>
    <m/>
    <m/>
  </r>
  <r>
    <x v="26"/>
    <x v="0"/>
    <x v="12"/>
    <n v="25"/>
    <d v="1899-12-30T01:00:00"/>
    <m/>
    <m/>
    <m/>
  </r>
  <r>
    <x v="26"/>
    <x v="2"/>
    <x v="14"/>
    <n v="25"/>
    <d v="1899-12-30T02:00:00"/>
    <m/>
    <m/>
    <m/>
  </r>
  <r>
    <x v="27"/>
    <x v="2"/>
    <x v="14"/>
    <n v="24"/>
    <d v="1899-12-30T01:25:00"/>
    <s v="学习起来比较困难，搁浅"/>
    <m/>
    <m/>
  </r>
  <r>
    <x v="28"/>
    <x v="2"/>
    <x v="13"/>
    <n v="23"/>
    <d v="1899-12-30T00:30:00"/>
    <m/>
    <m/>
    <m/>
  </r>
  <r>
    <x v="28"/>
    <x v="4"/>
    <x v="7"/>
    <n v="23"/>
    <d v="1899-12-30T00:30:00"/>
    <m/>
    <m/>
    <m/>
  </r>
  <r>
    <x v="29"/>
    <x v="4"/>
    <x v="7"/>
    <n v="22"/>
    <d v="1899-12-30T00:35:00"/>
    <m/>
    <m/>
    <m/>
  </r>
  <r>
    <x v="29"/>
    <x v="0"/>
    <x v="12"/>
    <n v="22"/>
    <d v="1899-12-30T00:30:00"/>
    <m/>
    <m/>
    <m/>
  </r>
  <r>
    <x v="29"/>
    <x v="2"/>
    <x v="13"/>
    <n v="22"/>
    <d v="1899-12-30T00:45:00"/>
    <m/>
    <m/>
    <m/>
  </r>
  <r>
    <x v="30"/>
    <x v="4"/>
    <x v="7"/>
    <n v="21"/>
    <d v="1899-12-30T00:45:00"/>
    <m/>
    <m/>
    <m/>
  </r>
  <r>
    <x v="30"/>
    <x v="6"/>
    <x v="11"/>
    <n v="21"/>
    <d v="1899-12-30T01:00:00"/>
    <m/>
    <m/>
    <m/>
  </r>
  <r>
    <x v="31"/>
    <x v="4"/>
    <x v="7"/>
    <n v="20"/>
    <d v="1899-12-30T00:45:00"/>
    <m/>
    <m/>
    <m/>
  </r>
  <r>
    <x v="31"/>
    <x v="6"/>
    <x v="11"/>
    <n v="20"/>
    <d v="1899-12-30T01:00:00"/>
    <m/>
    <m/>
    <m/>
  </r>
  <r>
    <x v="32"/>
    <x v="6"/>
    <x v="11"/>
    <n v="19"/>
    <d v="1899-12-30T01:15:00"/>
    <m/>
    <m/>
    <m/>
  </r>
  <r>
    <x v="32"/>
    <x v="0"/>
    <x v="12"/>
    <n v="19"/>
    <d v="1899-12-30T01:30:00"/>
    <m/>
    <m/>
    <m/>
  </r>
  <r>
    <x v="32"/>
    <x v="5"/>
    <x v="9"/>
    <n v="19"/>
    <d v="1899-12-30T00:30:00"/>
    <m/>
    <m/>
    <m/>
  </r>
  <r>
    <x v="33"/>
    <x v="4"/>
    <x v="7"/>
    <n v="18"/>
    <d v="1899-12-30T00:45:00"/>
    <m/>
    <m/>
    <m/>
  </r>
  <r>
    <x v="34"/>
    <x v="5"/>
    <x v="8"/>
    <n v="16"/>
    <d v="1899-12-30T01:08:00"/>
    <m/>
    <d v="1899-12-30T11:02:00"/>
    <d v="1899-12-30T12:10:00"/>
  </r>
  <r>
    <x v="34"/>
    <x v="5"/>
    <x v="8"/>
    <n v="16"/>
    <d v="1899-12-30T01:00:00"/>
    <m/>
    <m/>
    <m/>
  </r>
  <r>
    <x v="35"/>
    <x v="4"/>
    <x v="7"/>
    <n v="15"/>
    <d v="1899-12-30T00:40:00"/>
    <m/>
    <m/>
    <m/>
  </r>
  <r>
    <x v="35"/>
    <x v="6"/>
    <x v="11"/>
    <n v="15"/>
    <d v="1899-12-30T01:00:00"/>
    <m/>
    <m/>
    <m/>
  </r>
  <r>
    <x v="36"/>
    <x v="6"/>
    <x v="11"/>
    <n v="14"/>
    <d v="1899-12-30T01:00:00"/>
    <m/>
    <m/>
    <m/>
  </r>
  <r>
    <x v="36"/>
    <x v="2"/>
    <x v="15"/>
    <n v="14"/>
    <d v="1899-12-30T01:00:00"/>
    <m/>
    <m/>
    <m/>
  </r>
  <r>
    <x v="36"/>
    <x v="4"/>
    <x v="7"/>
    <n v="14"/>
    <d v="1899-12-30T00:30:00"/>
    <m/>
    <m/>
    <m/>
  </r>
  <r>
    <x v="36"/>
    <x v="2"/>
    <x v="13"/>
    <n v="14"/>
    <d v="1899-12-30T02:00:00"/>
    <s v="9.学习OS SCHED  PY2EXE库"/>
    <m/>
    <m/>
  </r>
  <r>
    <x v="37"/>
    <x v="0"/>
    <x v="12"/>
    <n v="13"/>
    <d v="1899-12-30T01:00:00"/>
    <m/>
    <m/>
    <m/>
  </r>
  <r>
    <x v="37"/>
    <x v="4"/>
    <x v="7"/>
    <n v="13"/>
    <d v="1899-12-30T00:35:00"/>
    <m/>
    <m/>
    <m/>
  </r>
  <r>
    <x v="37"/>
    <x v="6"/>
    <x v="11"/>
    <n v="13"/>
    <d v="1899-12-30T01:00:00"/>
    <m/>
    <m/>
    <m/>
  </r>
  <r>
    <x v="37"/>
    <x v="2"/>
    <x v="13"/>
    <n v="13"/>
    <d v="1899-12-30T01:30:00"/>
    <m/>
    <m/>
    <m/>
  </r>
  <r>
    <x v="38"/>
    <x v="6"/>
    <x v="11"/>
    <n v="12"/>
    <d v="1899-12-30T00:40:00"/>
    <m/>
    <m/>
    <m/>
  </r>
  <r>
    <x v="38"/>
    <x v="4"/>
    <x v="7"/>
    <n v="12"/>
    <d v="1899-12-30T00:45:00"/>
    <m/>
    <m/>
    <m/>
  </r>
  <r>
    <x v="38"/>
    <x v="0"/>
    <x v="12"/>
    <n v="12"/>
    <d v="1899-12-30T00:30:00"/>
    <m/>
    <m/>
    <m/>
  </r>
  <r>
    <x v="39"/>
    <x v="6"/>
    <x v="11"/>
    <n v="11"/>
    <d v="1899-12-30T00:30:00"/>
    <m/>
    <m/>
    <m/>
  </r>
  <r>
    <x v="39"/>
    <x v="4"/>
    <x v="7"/>
    <n v="11"/>
    <d v="1899-12-30T00:30:00"/>
    <m/>
    <m/>
    <m/>
  </r>
  <r>
    <x v="39"/>
    <x v="0"/>
    <x v="12"/>
    <n v="11"/>
    <d v="1899-12-30T00:45:00"/>
    <m/>
    <m/>
    <m/>
  </r>
  <r>
    <x v="40"/>
    <x v="2"/>
    <x v="16"/>
    <n v="9"/>
    <d v="1899-12-30T04:00:00"/>
    <s v="C6 Data loading, storage, and file formats "/>
    <m/>
    <m/>
  </r>
  <r>
    <x v="41"/>
    <x v="2"/>
    <x v="16"/>
    <n v="8"/>
    <d v="1899-12-30T02:30:00"/>
    <m/>
    <m/>
    <m/>
  </r>
  <r>
    <x v="41"/>
    <x v="4"/>
    <x v="7"/>
    <n v="8"/>
    <d v="1899-12-30T00:30:00"/>
    <m/>
    <m/>
    <m/>
  </r>
  <r>
    <x v="42"/>
    <x v="4"/>
    <x v="7"/>
    <n v="7"/>
    <d v="1899-12-30T00:30:00"/>
    <m/>
    <m/>
    <m/>
  </r>
  <r>
    <x v="43"/>
    <x v="2"/>
    <x v="16"/>
    <n v="6"/>
    <d v="1899-12-30T02:30:00"/>
    <s v="8.matplotlib"/>
    <m/>
    <m/>
  </r>
  <r>
    <x v="44"/>
    <x v="2"/>
    <x v="16"/>
    <n v="5"/>
    <d v="1899-12-30T02:30:00"/>
    <s v="8.matplotlib"/>
    <m/>
    <m/>
  </r>
  <r>
    <x v="45"/>
    <x v="4"/>
    <x v="7"/>
    <n v="1"/>
    <d v="1899-12-30T00:45:00"/>
    <m/>
    <m/>
    <m/>
  </r>
  <r>
    <x v="45"/>
    <x v="2"/>
    <x v="2"/>
    <n v="1"/>
    <m/>
    <s v="p14"/>
    <m/>
    <m/>
  </r>
  <r>
    <x v="46"/>
    <x v="4"/>
    <x v="7"/>
    <n v="0"/>
    <d v="1899-12-30T00:45:00"/>
    <m/>
    <m/>
    <m/>
  </r>
  <r>
    <x v="46"/>
    <x v="2"/>
    <x v="17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1">
  <r>
    <x v="0"/>
    <x v="0"/>
    <n v="30"/>
    <n v="30"/>
  </r>
  <r>
    <x v="0"/>
    <x v="1"/>
    <n v="50"/>
    <n v="30"/>
  </r>
  <r>
    <x v="0"/>
    <x v="2"/>
    <n v="13"/>
    <n v="30"/>
  </r>
  <r>
    <x v="0"/>
    <x v="3"/>
    <n v="10"/>
    <n v="30"/>
  </r>
  <r>
    <x v="0"/>
    <x v="0"/>
    <n v="30"/>
    <n v="30"/>
  </r>
  <r>
    <x v="0"/>
    <x v="1"/>
    <n v="45"/>
    <n v="30"/>
  </r>
  <r>
    <x v="0"/>
    <x v="2"/>
    <n v="20"/>
    <n v="30"/>
  </r>
  <r>
    <x v="0"/>
    <x v="3"/>
    <n v="15"/>
    <n v="30"/>
  </r>
  <r>
    <x v="1"/>
    <x v="3"/>
    <n v="20"/>
    <n v="28"/>
  </r>
  <r>
    <x v="1"/>
    <x v="3"/>
    <n v="15"/>
    <n v="28"/>
  </r>
  <r>
    <x v="1"/>
    <x v="1"/>
    <n v="35"/>
    <n v="28"/>
  </r>
  <r>
    <x v="1"/>
    <x v="2"/>
    <n v="20"/>
    <n v="28"/>
  </r>
  <r>
    <x v="1"/>
    <x v="3"/>
    <n v="15"/>
    <n v="28"/>
  </r>
  <r>
    <x v="1"/>
    <x v="0"/>
    <n v="35"/>
    <n v="28"/>
  </r>
  <r>
    <x v="2"/>
    <x v="4"/>
    <n v="1"/>
    <n v="27"/>
  </r>
  <r>
    <x v="3"/>
    <x v="4"/>
    <n v="1"/>
    <n v="26"/>
  </r>
  <r>
    <x v="3"/>
    <x v="3"/>
    <n v="15"/>
    <n v="26"/>
  </r>
  <r>
    <x v="4"/>
    <x v="3"/>
    <n v="10"/>
    <n v="25"/>
  </r>
  <r>
    <x v="4"/>
    <x v="3"/>
    <n v="15"/>
    <n v="25"/>
  </r>
  <r>
    <x v="4"/>
    <x v="3"/>
    <n v="16"/>
    <n v="25"/>
  </r>
  <r>
    <x v="5"/>
    <x v="5"/>
    <n v="10"/>
    <n v="23"/>
  </r>
  <r>
    <x v="5"/>
    <x v="5"/>
    <n v="10"/>
    <n v="23"/>
  </r>
  <r>
    <x v="5"/>
    <x v="5"/>
    <n v="10"/>
    <n v="23"/>
  </r>
  <r>
    <x v="5"/>
    <x v="5"/>
    <n v="10"/>
    <n v="23"/>
  </r>
  <r>
    <x v="5"/>
    <x v="5"/>
    <n v="10"/>
    <n v="23"/>
  </r>
  <r>
    <x v="6"/>
    <x v="4"/>
    <n v="1"/>
    <n v="22"/>
  </r>
  <r>
    <x v="6"/>
    <x v="3"/>
    <n v="17"/>
    <n v="22"/>
  </r>
  <r>
    <x v="6"/>
    <x v="5"/>
    <n v="20"/>
    <n v="22"/>
  </r>
  <r>
    <x v="7"/>
    <x v="5"/>
    <n v="10"/>
    <n v="21"/>
  </r>
  <r>
    <x v="7"/>
    <x v="3"/>
    <n v="15"/>
    <n v="21"/>
  </r>
  <r>
    <x v="7"/>
    <x v="3"/>
    <n v="18"/>
    <n v="21"/>
  </r>
  <r>
    <x v="8"/>
    <x v="3"/>
    <n v="15"/>
    <n v="20"/>
  </r>
  <r>
    <x v="9"/>
    <x v="1"/>
    <n v="30"/>
    <n v="18"/>
  </r>
  <r>
    <x v="9"/>
    <x v="0"/>
    <n v="40"/>
    <n v="18"/>
  </r>
  <r>
    <x v="9"/>
    <x v="6"/>
    <n v="60"/>
    <n v="18"/>
  </r>
  <r>
    <x v="9"/>
    <x v="3"/>
    <n v="15"/>
    <n v="18"/>
  </r>
  <r>
    <x v="9"/>
    <x v="1"/>
    <n v="40"/>
    <n v="18"/>
  </r>
  <r>
    <x v="9"/>
    <x v="0"/>
    <n v="40"/>
    <n v="18"/>
  </r>
  <r>
    <x v="10"/>
    <x v="0"/>
    <n v="30"/>
    <n v="17"/>
  </r>
  <r>
    <x v="10"/>
    <x v="1"/>
    <n v="35"/>
    <n v="17"/>
  </r>
  <r>
    <x v="11"/>
    <x v="3"/>
    <n v="15"/>
    <n v="15"/>
  </r>
  <r>
    <x v="11"/>
    <x v="3"/>
    <n v="20"/>
    <n v="15"/>
  </r>
  <r>
    <x v="12"/>
    <x v="3"/>
    <n v="13"/>
    <n v="7"/>
  </r>
  <r>
    <x v="12"/>
    <x v="0"/>
    <n v="30"/>
    <n v="7"/>
  </r>
  <r>
    <x v="12"/>
    <x v="1"/>
    <n v="40"/>
    <n v="7"/>
  </r>
  <r>
    <x v="12"/>
    <x v="2"/>
    <n v="15"/>
    <n v="7"/>
  </r>
  <r>
    <x v="12"/>
    <x v="6"/>
    <n v="60"/>
    <n v="7"/>
  </r>
  <r>
    <x v="12"/>
    <x v="1"/>
    <n v="41"/>
    <n v="7"/>
  </r>
  <r>
    <x v="12"/>
    <x v="3"/>
    <n v="10"/>
    <n v="7"/>
  </r>
  <r>
    <x v="12"/>
    <x v="0"/>
    <n v="30"/>
    <n v="7"/>
  </r>
  <r>
    <x v="12"/>
    <x v="6"/>
    <n v="60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E122" firstHeaderRow="1" firstDataRow="2" firstDataCol="2"/>
  <pivotFields count="8">
    <pivotField axis="axisCol" compact="0" numFmtId="181" outline="0" showAll="0" sortType="descending">
      <items count="48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4">
    <i>
      <x v="3"/>
      <x v="10"/>
    </i>
    <i r="1">
      <x v="18"/>
    </i>
    <i>
      <x v="6"/>
      <x v="9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7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46">
      <pivotArea dataOnly="0" labelOnly="1" fieldPosition="0">
        <references count="1">
          <reference field="0" count="1">
            <x v="17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40:H42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2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1">
  <autoFilter ref="A1:H111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60" totalsRowShown="0">
  <autoFilter ref="A1:D60"/>
  <tableColumns count="4">
    <tableColumn id="1" name="时间" dataDxfId="2"/>
    <tableColumn id="2" name="项目"/>
    <tableColumn id="4" name="次数/时长" dataDxfId="1"/>
    <tableColumn id="3" name="距离今天" dataDxfId="0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11</v>
      </c>
      <c r="H3" s="13">
        <f ca="1">H2-TODAY()</f>
        <v>55</v>
      </c>
      <c r="I3" s="13">
        <f ca="1">I2-TODAY()</f>
        <v>115</v>
      </c>
      <c r="J3" s="13">
        <f ca="1">J2-TODAY()</f>
        <v>193</v>
      </c>
      <c r="K3" s="13">
        <f ca="1">K2-TODAY()</f>
        <v>375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83" priority="1">
      <formula>$A1="graduate"</formula>
    </cfRule>
    <cfRule type="expression" dxfId="82" priority="2">
      <formula>$A1="CS"</formula>
    </cfRule>
    <cfRule type="expression" dxfId="81" priority="3">
      <formula>$A1="python"</formula>
    </cfRule>
  </conditionalFormatting>
  <conditionalFormatting sqref="B22:D22">
    <cfRule type="expression" dxfId="80" priority="13">
      <formula>$A30="graduate"</formula>
    </cfRule>
    <cfRule type="expression" dxfId="79" priority="14">
      <formula>$A30="CS"</formula>
    </cfRule>
    <cfRule type="expression" dxfId="7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0.71527777777777801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0.62152777777777779</v>
      </c>
    </row>
    <row r="4" spans="1:7" x14ac:dyDescent="0.2">
      <c r="A4" s="2" t="s">
        <v>166</v>
      </c>
      <c r="C4" s="2" t="s">
        <v>168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152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155</v>
      </c>
      <c r="C6" s="2" t="s">
        <v>157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174</v>
      </c>
      <c r="C13" s="24" t="s">
        <v>176</v>
      </c>
      <c r="D13" s="4">
        <v>1</v>
      </c>
      <c r="E13" s="5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77" priority="6">
      <formula>$D1=1</formula>
    </cfRule>
  </conditionalFormatting>
  <conditionalFormatting sqref="A1:G1048576">
    <cfRule type="expression" dxfId="7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149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148</v>
      </c>
      <c r="C8" s="40">
        <v>1</v>
      </c>
    </row>
    <row r="9" spans="1:6" x14ac:dyDescent="0.2">
      <c r="B9" s="39" t="s">
        <v>161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98" workbookViewId="0">
      <selection activeCell="F111" sqref="F111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53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53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52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51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50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50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49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49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48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48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47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46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45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43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42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42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41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41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41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41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41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40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40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40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39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39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39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38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38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37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37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37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36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36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36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36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35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35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34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34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33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33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32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32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30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29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29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29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29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29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28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28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28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28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27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27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27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26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26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26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26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26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26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25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25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25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25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25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24</v>
      </c>
      <c r="E70" s="34">
        <v>5.9027777777777783E-2</v>
      </c>
      <c r="F70" s="41" t="s">
        <v>159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23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23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22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22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22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21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21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20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20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19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19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19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18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16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16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15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15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14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14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14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14</v>
      </c>
      <c r="E91" s="34">
        <v>8.3333333333333329E-2</v>
      </c>
      <c r="F91" s="40" t="s">
        <v>163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13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13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13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13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12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12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12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11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11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11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9</v>
      </c>
      <c r="E102" s="34">
        <v>0.16666666666666666</v>
      </c>
      <c r="F102" s="41" t="s">
        <v>169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t="shared" ref="D103:D109" ca="1" si="7">TODAY()-A103</f>
        <v>8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8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7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t="shared" ca="1" si="7"/>
        <v>6</v>
      </c>
      <c r="E106" s="34">
        <v>0.10416666666666667</v>
      </c>
      <c r="F106" s="41" t="s">
        <v>171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t="shared" ca="1" si="7"/>
        <v>5</v>
      </c>
      <c r="E107" s="34">
        <v>0.10416666666666667</v>
      </c>
      <c r="F107" s="41" t="s">
        <v>171</v>
      </c>
    </row>
    <row r="108" spans="1:6" x14ac:dyDescent="0.2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1</v>
      </c>
      <c r="E108" s="34">
        <v>3.125E-2</v>
      </c>
    </row>
    <row r="109" spans="1:6" x14ac:dyDescent="0.2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1</v>
      </c>
      <c r="F109" s="41" t="s">
        <v>172</v>
      </c>
    </row>
    <row r="110" spans="1:6" x14ac:dyDescent="0.2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0</v>
      </c>
      <c r="E110" s="34">
        <v>3.125E-2</v>
      </c>
    </row>
    <row r="111" spans="1:6" x14ac:dyDescent="0.2">
      <c r="A111" s="53">
        <v>42353</v>
      </c>
      <c r="B111" s="38" t="str">
        <f>INDEX(学习总体!A:A,MATCH(表2[[#This Row],[科目]],学习总体!C:C,0))</f>
        <v>Python</v>
      </c>
      <c r="C111" t="s">
        <v>175</v>
      </c>
      <c r="D111" s="55">
        <f ca="1">TODAY()-A111</f>
        <v>0</v>
      </c>
      <c r="E111" s="34">
        <v>0.20833333333333334</v>
      </c>
    </row>
    <row r="112" spans="1:6" x14ac:dyDescent="0.2">
      <c r="D112" s="55"/>
    </row>
    <row r="114" spans="1:30" x14ac:dyDescent="0.2">
      <c r="H114" s="51" t="s">
        <v>119</v>
      </c>
      <c r="I114" s="35" t="s">
        <v>120</v>
      </c>
      <c r="J114" s="35"/>
    </row>
    <row r="115" spans="1:30" x14ac:dyDescent="0.2">
      <c r="H115" s="34">
        <f ca="1">SUMIF(D:D,0,E:E)</f>
        <v>0.23958333333333334</v>
      </c>
      <c r="I115" s="38" t="str">
        <f ca="1">INDEX(学习总体!C:C,RANDBETWEEN(2,COUNTIF(学习总体!D:D,学习总体!D5)+1))</f>
        <v>集体智慧编程(Programming Collective Intelligence)</v>
      </c>
      <c r="J115" s="35"/>
    </row>
    <row r="117" spans="1:30" s="48" customFormat="1" x14ac:dyDescent="0.2">
      <c r="A117" s="52"/>
      <c r="B117" s="46" t="s">
        <v>154</v>
      </c>
      <c r="C117" s="54"/>
      <c r="D117" s="60" t="s">
        <v>31</v>
      </c>
      <c r="E117" s="54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 x14ac:dyDescent="0.2">
      <c r="A118" s="53"/>
      <c r="B118" s="46" t="s">
        <v>164</v>
      </c>
      <c r="C118" s="50" t="s">
        <v>32</v>
      </c>
      <c r="D118" s="53">
        <v>42353</v>
      </c>
      <c r="E118" s="53">
        <v>42352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7" t="s">
        <v>9</v>
      </c>
      <c r="C119" s="54" t="s">
        <v>33</v>
      </c>
      <c r="D119" s="34"/>
      <c r="F119"/>
      <c r="G119"/>
      <c r="H119"/>
      <c r="I119"/>
      <c r="J119"/>
      <c r="K119"/>
    </row>
    <row r="120" spans="1:30" x14ac:dyDescent="0.2">
      <c r="B120" s="47"/>
      <c r="C120" s="54" t="s">
        <v>175</v>
      </c>
      <c r="D120" s="34">
        <v>4.1666666666666664E-2</v>
      </c>
      <c r="F120"/>
      <c r="G120"/>
      <c r="H120"/>
      <c r="I120"/>
      <c r="J120"/>
      <c r="K120"/>
    </row>
    <row r="121" spans="1:30" x14ac:dyDescent="0.2">
      <c r="B121" s="47" t="s">
        <v>173</v>
      </c>
      <c r="C121" s="59" t="s">
        <v>86</v>
      </c>
      <c r="D121" s="34">
        <v>3.125E-2</v>
      </c>
      <c r="E121" s="34">
        <v>3.125E-2</v>
      </c>
      <c r="F121"/>
      <c r="G121"/>
      <c r="H121"/>
      <c r="I121"/>
      <c r="J121"/>
      <c r="K121"/>
    </row>
    <row r="122" spans="1:30" x14ac:dyDescent="0.2">
      <c r="B122" s="47" t="s">
        <v>145</v>
      </c>
      <c r="C122" s="47"/>
      <c r="D122" s="34">
        <v>7.2916666666666657E-2</v>
      </c>
      <c r="E122" s="34">
        <v>3.125E-2</v>
      </c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0"/>
      <c r="E131"/>
      <c r="F131"/>
      <c r="G131"/>
      <c r="H131"/>
      <c r="I131"/>
      <c r="J131"/>
      <c r="K131"/>
    </row>
    <row r="132" spans="2:11" x14ac:dyDescent="0.2">
      <c r="D132" s="40"/>
      <c r="E132"/>
      <c r="F132"/>
      <c r="G132"/>
      <c r="H132"/>
      <c r="I132"/>
      <c r="J132"/>
      <c r="K132"/>
    </row>
    <row r="133" spans="2:11" x14ac:dyDescent="0.2">
      <c r="D133" s="40"/>
      <c r="E133"/>
      <c r="F133"/>
      <c r="G133"/>
      <c r="H133"/>
      <c r="I133"/>
      <c r="J133"/>
      <c r="K133"/>
    </row>
    <row r="134" spans="2:11" x14ac:dyDescent="0.2">
      <c r="D134" s="40"/>
      <c r="E134"/>
      <c r="F134"/>
      <c r="G134"/>
      <c r="H134"/>
      <c r="I134"/>
      <c r="J134"/>
      <c r="K134"/>
    </row>
    <row r="135" spans="2:11" x14ac:dyDescent="0.2">
      <c r="D135" s="40"/>
      <c r="J135"/>
      <c r="K135"/>
    </row>
    <row r="136" spans="2:11" x14ac:dyDescent="0.2">
      <c r="D136" s="40"/>
      <c r="J136"/>
      <c r="K136"/>
    </row>
    <row r="137" spans="2:11" x14ac:dyDescent="0.2">
      <c r="D137" s="40"/>
      <c r="J137"/>
      <c r="K137"/>
    </row>
    <row r="138" spans="2:11" x14ac:dyDescent="0.2">
      <c r="D138" s="40"/>
      <c r="J138"/>
      <c r="K138"/>
    </row>
    <row r="139" spans="2:11" x14ac:dyDescent="0.2">
      <c r="D139" s="40"/>
      <c r="J139"/>
      <c r="K139"/>
    </row>
    <row r="140" spans="2:11" x14ac:dyDescent="0.2">
      <c r="D140" s="40"/>
      <c r="J140"/>
      <c r="K140"/>
    </row>
    <row r="141" spans="2:11" x14ac:dyDescent="0.2">
      <c r="D141" s="40"/>
      <c r="J141"/>
      <c r="K141"/>
    </row>
    <row r="142" spans="2:11" x14ac:dyDescent="0.2">
      <c r="D142" s="40"/>
      <c r="J142"/>
      <c r="K142"/>
    </row>
    <row r="143" spans="2:11" x14ac:dyDescent="0.2">
      <c r="D143" s="40"/>
    </row>
    <row r="144" spans="2:11" x14ac:dyDescent="0.2">
      <c r="D144" s="40"/>
    </row>
    <row r="145" spans="4:4" x14ac:dyDescent="0.2">
      <c r="D145" s="40"/>
    </row>
    <row r="146" spans="4:4" x14ac:dyDescent="0.2">
      <c r="D146" s="40"/>
    </row>
    <row r="147" spans="4:4" x14ac:dyDescent="0.2">
      <c r="D147" s="40"/>
    </row>
    <row r="148" spans="4:4" x14ac:dyDescent="0.2">
      <c r="D148" s="40"/>
    </row>
    <row r="149" spans="4:4" x14ac:dyDescent="0.2">
      <c r="D149" s="40"/>
    </row>
    <row r="150" spans="4:4" x14ac:dyDescent="0.2">
      <c r="D150" s="40"/>
    </row>
    <row r="151" spans="4:4" x14ac:dyDescent="0.2">
      <c r="D151" s="40"/>
    </row>
    <row r="152" spans="4:4" x14ac:dyDescent="0.2">
      <c r="D152" s="40"/>
    </row>
    <row r="153" spans="4:4" x14ac:dyDescent="0.2">
      <c r="D153" s="40"/>
    </row>
    <row r="154" spans="4:4" x14ac:dyDescent="0.2">
      <c r="D154" s="40"/>
    </row>
    <row r="155" spans="4:4" x14ac:dyDescent="0.2">
      <c r="D155" s="40"/>
    </row>
    <row r="156" spans="4:4" x14ac:dyDescent="0.2">
      <c r="D156" s="40"/>
    </row>
    <row r="157" spans="4:4" x14ac:dyDescent="0.2">
      <c r="D157" s="40"/>
    </row>
    <row r="158" spans="4:4" x14ac:dyDescent="0.2">
      <c r="D158" s="40"/>
    </row>
    <row r="159" spans="4:4" x14ac:dyDescent="0.2">
      <c r="D159" s="40"/>
    </row>
    <row r="160" spans="4:4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</sheetData>
  <phoneticPr fontId="4" type="noConversion"/>
  <conditionalFormatting sqref="H117:H118 A116:H116 A131:C196 E135:H196 A114:G115 A117:A130 B124:B130 A1:H98 A197:H1048576 A102 C102:H102 B99:B102 A103:H113">
    <cfRule type="expression" dxfId="75" priority="13">
      <formula>$A1=TODAY()-1</formula>
    </cfRule>
    <cfRule type="expression" dxfId="74" priority="14">
      <formula>$A1=TODAY()</formula>
    </cfRule>
  </conditionalFormatting>
  <conditionalFormatting sqref="A99:A101 D99:H101">
    <cfRule type="expression" dxfId="73" priority="5">
      <formula>$A99=TODAY()-1</formula>
    </cfRule>
    <cfRule type="expression" dxfId="72" priority="6">
      <formula>$A99=TODAY()</formula>
    </cfRule>
  </conditionalFormatting>
  <conditionalFormatting sqref="C99:C100">
    <cfRule type="expression" dxfId="71" priority="3">
      <formula>$A99=TODAY()-1</formula>
    </cfRule>
    <cfRule type="expression" dxfId="70" priority="4">
      <formula>$A99=TODAY()</formula>
    </cfRule>
  </conditionalFormatting>
  <conditionalFormatting sqref="C101">
    <cfRule type="expression" dxfId="69" priority="1">
      <formula>$A101=TODAY()-1</formula>
    </cfRule>
    <cfRule type="expression" dxfId="68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C197:C1048576</xm:sqref>
        </x14:dataValidation>
        <x14:dataValidation type="list" allowBlank="1" showInputMessage="1" showErrorMessage="1">
          <x14:formula1>
            <xm:f>学习总体!$C:$C</xm:f>
          </x14:formula1>
          <xm:sqref>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0"/>
  <sheetViews>
    <sheetView topLeftCell="A41" workbookViewId="0">
      <selection activeCell="F56" sqref="F56"/>
    </sheetView>
  </sheetViews>
  <sheetFormatPr defaultRowHeight="14.25" x14ac:dyDescent="0.2"/>
  <cols>
    <col min="1" max="1" width="11.125" style="58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7" t="s">
        <v>170</v>
      </c>
      <c r="B1" s="39" t="s">
        <v>135</v>
      </c>
      <c r="C1" s="41" t="s">
        <v>136</v>
      </c>
      <c r="D1" s="43" t="s">
        <v>150</v>
      </c>
      <c r="G1" s="40"/>
      <c r="H1"/>
    </row>
    <row r="2" spans="1:15" x14ac:dyDescent="0.2">
      <c r="A2" s="58">
        <v>42323</v>
      </c>
      <c r="B2" t="s">
        <v>139</v>
      </c>
      <c r="C2" s="40">
        <v>30</v>
      </c>
      <c r="D2" s="43">
        <f t="shared" ref="D2:D33" ca="1" si="0">TODAY()-ROUNDDOWN(A2,0)</f>
        <v>30</v>
      </c>
      <c r="G2" s="40"/>
      <c r="H2"/>
    </row>
    <row r="3" spans="1:15" x14ac:dyDescent="0.2">
      <c r="A3" s="58">
        <v>42323</v>
      </c>
      <c r="B3" t="s">
        <v>140</v>
      </c>
      <c r="C3" s="40">
        <v>50</v>
      </c>
      <c r="D3" s="43">
        <f t="shared" ca="1" si="0"/>
        <v>30</v>
      </c>
      <c r="G3" s="40"/>
      <c r="H3"/>
    </row>
    <row r="4" spans="1:15" x14ac:dyDescent="0.2">
      <c r="A4" s="58">
        <v>42323</v>
      </c>
      <c r="B4" t="s">
        <v>137</v>
      </c>
      <c r="C4" s="40">
        <v>13</v>
      </c>
      <c r="D4" s="43">
        <f t="shared" ca="1" si="0"/>
        <v>30</v>
      </c>
      <c r="G4" s="40"/>
      <c r="H4"/>
    </row>
    <row r="5" spans="1:15" x14ac:dyDescent="0.2">
      <c r="A5" s="58">
        <v>42323</v>
      </c>
      <c r="B5" t="s">
        <v>138</v>
      </c>
      <c r="C5" s="40">
        <v>10</v>
      </c>
      <c r="D5" s="43">
        <f t="shared" ca="1" si="0"/>
        <v>30</v>
      </c>
      <c r="G5" s="40"/>
      <c r="H5"/>
    </row>
    <row r="6" spans="1:15" x14ac:dyDescent="0.2">
      <c r="A6" s="58">
        <v>42323</v>
      </c>
      <c r="B6" t="s">
        <v>139</v>
      </c>
      <c r="C6" s="40">
        <v>30</v>
      </c>
      <c r="D6" s="43">
        <f t="shared" ca="1" si="0"/>
        <v>30</v>
      </c>
      <c r="G6" s="40"/>
      <c r="H6"/>
    </row>
    <row r="7" spans="1:15" x14ac:dyDescent="0.2">
      <c r="A7" s="58">
        <v>42323</v>
      </c>
      <c r="B7" t="s">
        <v>140</v>
      </c>
      <c r="C7" s="40">
        <v>45</v>
      </c>
      <c r="D7" s="43">
        <f t="shared" ca="1" si="0"/>
        <v>30</v>
      </c>
      <c r="G7" s="40"/>
      <c r="H7"/>
    </row>
    <row r="8" spans="1:15" x14ac:dyDescent="0.2">
      <c r="A8" s="58">
        <v>42323</v>
      </c>
      <c r="B8" t="s">
        <v>137</v>
      </c>
      <c r="C8" s="40">
        <v>20</v>
      </c>
      <c r="D8" s="43">
        <f t="shared" ca="1" si="0"/>
        <v>30</v>
      </c>
      <c r="G8" s="40"/>
      <c r="H8"/>
    </row>
    <row r="9" spans="1:15" x14ac:dyDescent="0.2">
      <c r="A9" s="58">
        <v>42323</v>
      </c>
      <c r="B9" t="s">
        <v>138</v>
      </c>
      <c r="C9" s="40">
        <v>15</v>
      </c>
      <c r="D9" s="43">
        <f t="shared" ca="1" si="0"/>
        <v>30</v>
      </c>
      <c r="G9" s="40"/>
      <c r="H9"/>
    </row>
    <row r="10" spans="1:15" x14ac:dyDescent="0.2">
      <c r="A10" s="58">
        <v>42325</v>
      </c>
      <c r="B10" t="s">
        <v>138</v>
      </c>
      <c r="C10" s="40">
        <v>20</v>
      </c>
      <c r="D10" s="43">
        <f t="shared" ca="1" si="0"/>
        <v>28</v>
      </c>
      <c r="G10" s="40"/>
      <c r="H10"/>
    </row>
    <row r="11" spans="1:15" x14ac:dyDescent="0.2">
      <c r="A11" s="58">
        <v>42325</v>
      </c>
      <c r="B11" t="s">
        <v>138</v>
      </c>
      <c r="C11" s="40">
        <v>15</v>
      </c>
      <c r="D11" s="43">
        <f t="shared" ca="1" si="0"/>
        <v>28</v>
      </c>
      <c r="G11" s="40"/>
      <c r="H11"/>
    </row>
    <row r="12" spans="1:15" x14ac:dyDescent="0.2">
      <c r="A12" s="58">
        <v>42325</v>
      </c>
      <c r="B12" t="s">
        <v>140</v>
      </c>
      <c r="C12" s="40">
        <v>35</v>
      </c>
      <c r="D12" s="43">
        <f t="shared" ca="1" si="0"/>
        <v>28</v>
      </c>
      <c r="G12" s="40"/>
      <c r="H12"/>
    </row>
    <row r="13" spans="1:15" x14ac:dyDescent="0.2">
      <c r="A13" s="58">
        <v>42325</v>
      </c>
      <c r="B13" t="s">
        <v>137</v>
      </c>
      <c r="C13" s="40">
        <v>20</v>
      </c>
      <c r="D13" s="43">
        <f t="shared" ca="1" si="0"/>
        <v>28</v>
      </c>
      <c r="G13" s="40"/>
      <c r="H13"/>
    </row>
    <row r="14" spans="1:15" x14ac:dyDescent="0.2">
      <c r="A14" s="58">
        <v>42325</v>
      </c>
      <c r="B14" t="s">
        <v>138</v>
      </c>
      <c r="C14" s="40">
        <v>15</v>
      </c>
      <c r="D14" s="43">
        <f t="shared" ca="1" si="0"/>
        <v>28</v>
      </c>
      <c r="G14" s="40"/>
      <c r="H14"/>
    </row>
    <row r="15" spans="1:15" x14ac:dyDescent="0.2">
      <c r="A15" s="58">
        <v>42325</v>
      </c>
      <c r="B15" t="s">
        <v>139</v>
      </c>
      <c r="C15" s="40">
        <v>35</v>
      </c>
      <c r="D15" s="43">
        <f t="shared" ca="1" si="0"/>
        <v>28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8">
        <v>42326</v>
      </c>
      <c r="B16" t="s">
        <v>158</v>
      </c>
      <c r="C16" s="40">
        <v>1</v>
      </c>
      <c r="D16" s="43">
        <f t="shared" ca="1" si="0"/>
        <v>27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8">
        <v>42327</v>
      </c>
      <c r="B17" t="s">
        <v>158</v>
      </c>
      <c r="C17" s="40">
        <v>1</v>
      </c>
      <c r="D17" s="43">
        <f t="shared" ca="1" si="0"/>
        <v>26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8">
        <v>42327</v>
      </c>
      <c r="B18" t="s">
        <v>138</v>
      </c>
      <c r="C18" s="40">
        <v>15</v>
      </c>
      <c r="D18" s="43">
        <f t="shared" ca="1" si="0"/>
        <v>26</v>
      </c>
      <c r="G18" s="40"/>
      <c r="H18"/>
      <c r="M18" s="40"/>
      <c r="N18" s="40"/>
      <c r="O18" s="40"/>
    </row>
    <row r="19" spans="1:15" x14ac:dyDescent="0.2">
      <c r="A19" s="58">
        <v>42328</v>
      </c>
      <c r="B19" t="s">
        <v>138</v>
      </c>
      <c r="C19" s="40">
        <v>10</v>
      </c>
      <c r="D19" s="43">
        <f t="shared" ca="1" si="0"/>
        <v>25</v>
      </c>
      <c r="G19" s="40"/>
      <c r="H19"/>
    </row>
    <row r="20" spans="1:15" x14ac:dyDescent="0.2">
      <c r="A20" s="58">
        <v>42328</v>
      </c>
      <c r="B20" t="s">
        <v>138</v>
      </c>
      <c r="C20" s="40">
        <v>15</v>
      </c>
      <c r="D20" s="43">
        <f t="shared" ca="1" si="0"/>
        <v>25</v>
      </c>
      <c r="G20" s="40"/>
      <c r="H20"/>
    </row>
    <row r="21" spans="1:15" x14ac:dyDescent="0.2">
      <c r="A21" s="58">
        <v>42328</v>
      </c>
      <c r="B21" t="s">
        <v>138</v>
      </c>
      <c r="C21" s="40">
        <v>16</v>
      </c>
      <c r="D21" s="43">
        <f t="shared" ca="1" si="0"/>
        <v>25</v>
      </c>
      <c r="G21" s="40"/>
      <c r="H21"/>
    </row>
    <row r="22" spans="1:15" x14ac:dyDescent="0.2">
      <c r="A22" s="58">
        <v>42330</v>
      </c>
      <c r="B22" t="s">
        <v>160</v>
      </c>
      <c r="C22" s="40">
        <v>10</v>
      </c>
      <c r="D22" s="43">
        <f t="shared" ca="1" si="0"/>
        <v>23</v>
      </c>
      <c r="G22" s="40"/>
      <c r="H22"/>
    </row>
    <row r="23" spans="1:15" x14ac:dyDescent="0.2">
      <c r="A23" s="58">
        <v>42330</v>
      </c>
      <c r="B23" t="s">
        <v>160</v>
      </c>
      <c r="C23" s="40">
        <v>10</v>
      </c>
      <c r="D23" s="43">
        <f t="shared" ca="1" si="0"/>
        <v>23</v>
      </c>
      <c r="G23" s="40"/>
      <c r="H23"/>
    </row>
    <row r="24" spans="1:15" x14ac:dyDescent="0.2">
      <c r="A24" s="58">
        <v>42330</v>
      </c>
      <c r="B24" t="s">
        <v>160</v>
      </c>
      <c r="C24" s="40">
        <v>10</v>
      </c>
      <c r="D24" s="43">
        <f t="shared" ca="1" si="0"/>
        <v>23</v>
      </c>
      <c r="G24" s="40"/>
      <c r="H24"/>
    </row>
    <row r="25" spans="1:15" x14ac:dyDescent="0.2">
      <c r="A25" s="58">
        <v>42330</v>
      </c>
      <c r="B25" t="s">
        <v>160</v>
      </c>
      <c r="C25" s="40">
        <v>10</v>
      </c>
      <c r="D25" s="43">
        <f t="shared" ca="1" si="0"/>
        <v>23</v>
      </c>
      <c r="H25"/>
    </row>
    <row r="26" spans="1:15" x14ac:dyDescent="0.2">
      <c r="A26" s="58">
        <v>42330</v>
      </c>
      <c r="B26" t="s">
        <v>160</v>
      </c>
      <c r="C26" s="40">
        <v>10</v>
      </c>
      <c r="D26" s="43">
        <f t="shared" ca="1" si="0"/>
        <v>23</v>
      </c>
      <c r="G26" s="40"/>
      <c r="H26"/>
    </row>
    <row r="27" spans="1:15" x14ac:dyDescent="0.2">
      <c r="A27" s="58">
        <v>42331</v>
      </c>
      <c r="B27" t="s">
        <v>158</v>
      </c>
      <c r="C27" s="40">
        <v>1</v>
      </c>
      <c r="D27" s="43">
        <f t="shared" ca="1" si="0"/>
        <v>22</v>
      </c>
      <c r="G27" s="40"/>
      <c r="H27"/>
    </row>
    <row r="28" spans="1:15" x14ac:dyDescent="0.2">
      <c r="A28" s="58">
        <v>42331</v>
      </c>
      <c r="B28" t="s">
        <v>138</v>
      </c>
      <c r="C28" s="40">
        <v>17</v>
      </c>
      <c r="D28" s="43">
        <f t="shared" ca="1" si="0"/>
        <v>22</v>
      </c>
      <c r="G28" s="40"/>
      <c r="H28"/>
    </row>
    <row r="29" spans="1:15" x14ac:dyDescent="0.2">
      <c r="A29" s="58">
        <v>42331</v>
      </c>
      <c r="B29" t="s">
        <v>160</v>
      </c>
      <c r="C29" s="40">
        <v>20</v>
      </c>
      <c r="D29" s="43">
        <f t="shared" ca="1" si="0"/>
        <v>22</v>
      </c>
      <c r="G29" s="40"/>
      <c r="H29"/>
    </row>
    <row r="30" spans="1:15" x14ac:dyDescent="0.2">
      <c r="A30" s="58">
        <v>42332</v>
      </c>
      <c r="B30" t="s">
        <v>160</v>
      </c>
      <c r="C30" s="40">
        <v>10</v>
      </c>
      <c r="D30" s="43">
        <f t="shared" ca="1" si="0"/>
        <v>21</v>
      </c>
      <c r="G30" s="40"/>
      <c r="H30"/>
    </row>
    <row r="31" spans="1:15" x14ac:dyDescent="0.2">
      <c r="A31" s="58">
        <v>42332</v>
      </c>
      <c r="B31" t="s">
        <v>138</v>
      </c>
      <c r="C31" s="40">
        <v>15</v>
      </c>
      <c r="D31" s="43">
        <f t="shared" ca="1" si="0"/>
        <v>21</v>
      </c>
      <c r="G31" s="40"/>
      <c r="H31"/>
    </row>
    <row r="32" spans="1:15" x14ac:dyDescent="0.2">
      <c r="A32" s="58">
        <v>42332</v>
      </c>
      <c r="B32" t="s">
        <v>138</v>
      </c>
      <c r="C32" s="40">
        <v>18</v>
      </c>
      <c r="D32" s="43">
        <f t="shared" ca="1" si="0"/>
        <v>21</v>
      </c>
      <c r="G32" s="40"/>
      <c r="H32"/>
    </row>
    <row r="33" spans="1:8" x14ac:dyDescent="0.2">
      <c r="A33" s="58">
        <v>42333</v>
      </c>
      <c r="B33" t="s">
        <v>138</v>
      </c>
      <c r="C33" s="40">
        <v>15</v>
      </c>
      <c r="D33" s="43">
        <f t="shared" ca="1" si="0"/>
        <v>20</v>
      </c>
      <c r="G33" s="40"/>
      <c r="H33"/>
    </row>
    <row r="34" spans="1:8" x14ac:dyDescent="0.2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18</v>
      </c>
      <c r="G34" s="40"/>
      <c r="H34"/>
    </row>
    <row r="35" spans="1:8" x14ac:dyDescent="0.2">
      <c r="A35" s="58">
        <v>42335</v>
      </c>
      <c r="B35" t="s">
        <v>139</v>
      </c>
      <c r="C35" s="40">
        <v>40</v>
      </c>
      <c r="D35" s="43">
        <f t="shared" ca="1" si="1"/>
        <v>18</v>
      </c>
      <c r="H35"/>
    </row>
    <row r="36" spans="1:8" x14ac:dyDescent="0.2">
      <c r="A36" s="58">
        <v>42335</v>
      </c>
      <c r="B36" t="s">
        <v>162</v>
      </c>
      <c r="C36" s="40">
        <v>60</v>
      </c>
      <c r="D36" s="43">
        <f t="shared" ca="1" si="1"/>
        <v>18</v>
      </c>
      <c r="G36" s="40"/>
      <c r="H36"/>
    </row>
    <row r="37" spans="1:8" x14ac:dyDescent="0.2">
      <c r="A37" s="58">
        <v>42335</v>
      </c>
      <c r="B37" t="s">
        <v>138</v>
      </c>
      <c r="C37" s="40">
        <v>15</v>
      </c>
      <c r="D37" s="43">
        <f t="shared" ca="1" si="1"/>
        <v>18</v>
      </c>
      <c r="G37" s="40"/>
      <c r="H37"/>
    </row>
    <row r="38" spans="1:8" x14ac:dyDescent="0.2">
      <c r="A38" s="58">
        <v>42335</v>
      </c>
      <c r="B38" t="s">
        <v>140</v>
      </c>
      <c r="C38" s="40">
        <v>40</v>
      </c>
      <c r="D38" s="43">
        <f t="shared" ca="1" si="1"/>
        <v>18</v>
      </c>
      <c r="G38" s="40"/>
      <c r="H38"/>
    </row>
    <row r="39" spans="1:8" x14ac:dyDescent="0.2">
      <c r="A39" s="58">
        <v>42335</v>
      </c>
      <c r="B39" t="s">
        <v>139</v>
      </c>
      <c r="C39" s="40">
        <v>40</v>
      </c>
      <c r="D39" s="43">
        <f t="shared" ca="1" si="1"/>
        <v>18</v>
      </c>
      <c r="G39" s="40"/>
      <c r="H39"/>
    </row>
    <row r="40" spans="1:8" x14ac:dyDescent="0.2">
      <c r="A40" s="58">
        <v>42336</v>
      </c>
      <c r="B40" t="s">
        <v>139</v>
      </c>
      <c r="C40" s="40">
        <v>30</v>
      </c>
      <c r="D40" s="43">
        <f t="shared" ca="1" si="1"/>
        <v>17</v>
      </c>
      <c r="G40" s="42" t="s">
        <v>147</v>
      </c>
      <c r="H40" s="42" t="s">
        <v>146</v>
      </c>
    </row>
    <row r="41" spans="1:8" x14ac:dyDescent="0.2">
      <c r="A41" s="58">
        <v>42336</v>
      </c>
      <c r="B41" t="s">
        <v>140</v>
      </c>
      <c r="C41" s="40">
        <v>35</v>
      </c>
      <c r="D41" s="43">
        <f t="shared" ca="1" si="1"/>
        <v>17</v>
      </c>
      <c r="G41" s="42" t="s">
        <v>144</v>
      </c>
      <c r="H41" s="40" t="s">
        <v>145</v>
      </c>
    </row>
    <row r="42" spans="1:8" x14ac:dyDescent="0.2">
      <c r="A42" s="58">
        <v>42338</v>
      </c>
      <c r="B42" t="s">
        <v>138</v>
      </c>
      <c r="C42" s="40">
        <v>15</v>
      </c>
      <c r="D42" s="43">
        <f t="shared" ca="1" si="1"/>
        <v>15</v>
      </c>
      <c r="G42" s="38" t="s">
        <v>145</v>
      </c>
    </row>
    <row r="43" spans="1:8" ht="13.5" customHeight="1" x14ac:dyDescent="0.2">
      <c r="A43" s="58">
        <v>42338</v>
      </c>
      <c r="B43" t="s">
        <v>138</v>
      </c>
      <c r="C43" s="40">
        <v>20</v>
      </c>
      <c r="D43" s="43">
        <f t="shared" ca="1" si="1"/>
        <v>15</v>
      </c>
      <c r="H43"/>
    </row>
    <row r="44" spans="1:8" x14ac:dyDescent="0.2">
      <c r="A44" s="58">
        <v>42346</v>
      </c>
      <c r="B44" t="s">
        <v>138</v>
      </c>
      <c r="C44" s="40">
        <v>13</v>
      </c>
      <c r="D44" s="43">
        <f t="shared" ca="1" si="1"/>
        <v>7</v>
      </c>
      <c r="H44"/>
    </row>
    <row r="45" spans="1:8" x14ac:dyDescent="0.2">
      <c r="A45" s="58">
        <v>42346</v>
      </c>
      <c r="B45" t="s">
        <v>139</v>
      </c>
      <c r="C45" s="40">
        <v>30</v>
      </c>
      <c r="D45" s="43">
        <f t="shared" ca="1" si="1"/>
        <v>7</v>
      </c>
      <c r="H45"/>
    </row>
    <row r="46" spans="1:8" x14ac:dyDescent="0.2">
      <c r="A46" s="58">
        <v>42346</v>
      </c>
      <c r="B46" t="s">
        <v>140</v>
      </c>
      <c r="C46" s="40">
        <v>40</v>
      </c>
      <c r="D46" s="43">
        <f t="shared" ca="1" si="1"/>
        <v>7</v>
      </c>
      <c r="H46"/>
    </row>
    <row r="47" spans="1:8" x14ac:dyDescent="0.2">
      <c r="A47" s="58">
        <v>42346</v>
      </c>
      <c r="B47" t="s">
        <v>137</v>
      </c>
      <c r="C47" s="40">
        <v>15</v>
      </c>
      <c r="D47" s="43">
        <f t="shared" ca="1" si="1"/>
        <v>7</v>
      </c>
      <c r="H47"/>
    </row>
    <row r="48" spans="1:8" x14ac:dyDescent="0.2">
      <c r="A48" s="58">
        <v>42346</v>
      </c>
      <c r="B48" t="s">
        <v>162</v>
      </c>
      <c r="C48" s="40">
        <v>60</v>
      </c>
      <c r="D48" s="43">
        <f t="shared" ca="1" si="1"/>
        <v>7</v>
      </c>
    </row>
    <row r="49" spans="1:4" x14ac:dyDescent="0.2">
      <c r="A49" s="58">
        <v>42346</v>
      </c>
      <c r="B49" t="s">
        <v>140</v>
      </c>
      <c r="C49" s="40">
        <v>41</v>
      </c>
      <c r="D49" s="43">
        <f t="shared" ca="1" si="1"/>
        <v>7</v>
      </c>
    </row>
    <row r="50" spans="1:4" x14ac:dyDescent="0.2">
      <c r="A50" s="58">
        <v>42346</v>
      </c>
      <c r="B50" t="s">
        <v>138</v>
      </c>
      <c r="C50" s="40">
        <v>10</v>
      </c>
      <c r="D50" s="43">
        <f t="shared" ca="1" si="1"/>
        <v>7</v>
      </c>
    </row>
    <row r="51" spans="1:4" x14ac:dyDescent="0.2">
      <c r="A51" s="58">
        <v>42346</v>
      </c>
      <c r="B51" t="s">
        <v>139</v>
      </c>
      <c r="C51" s="40">
        <v>30</v>
      </c>
      <c r="D51" s="43">
        <f t="shared" ca="1" si="1"/>
        <v>7</v>
      </c>
    </row>
    <row r="52" spans="1:4" x14ac:dyDescent="0.2">
      <c r="A52" s="58">
        <v>42346</v>
      </c>
      <c r="B52" t="s">
        <v>162</v>
      </c>
      <c r="C52" s="40">
        <v>60</v>
      </c>
      <c r="D52" s="43">
        <f t="shared" ca="1" si="1"/>
        <v>7</v>
      </c>
    </row>
    <row r="53" spans="1:4" x14ac:dyDescent="0.2">
      <c r="A53" s="58">
        <v>42353</v>
      </c>
      <c r="B53" t="s">
        <v>138</v>
      </c>
      <c r="C53" s="40">
        <v>13</v>
      </c>
      <c r="D53" s="43">
        <f ca="1">TODAY()-ROUNDDOWN(A53,0)</f>
        <v>0</v>
      </c>
    </row>
    <row r="54" spans="1:4" x14ac:dyDescent="0.2">
      <c r="A54" s="58">
        <v>42353</v>
      </c>
      <c r="B54" t="s">
        <v>140</v>
      </c>
      <c r="C54" s="40">
        <v>40</v>
      </c>
      <c r="D54" s="43">
        <f ca="1">TODAY()-ROUNDDOWN(A54,0)</f>
        <v>0</v>
      </c>
    </row>
    <row r="55" spans="1:4" x14ac:dyDescent="0.2">
      <c r="A55" s="58">
        <v>42353</v>
      </c>
      <c r="B55" t="s">
        <v>137</v>
      </c>
      <c r="C55" s="40">
        <v>15</v>
      </c>
      <c r="D55" s="43">
        <f ca="1">TODAY()-ROUNDDOWN(A55,0)</f>
        <v>0</v>
      </c>
    </row>
    <row r="56" spans="1:4" x14ac:dyDescent="0.2">
      <c r="A56" s="58">
        <v>42353</v>
      </c>
      <c r="B56" t="s">
        <v>139</v>
      </c>
      <c r="C56" s="40">
        <v>30</v>
      </c>
      <c r="D56" s="43">
        <f ca="1">TODAY()-ROUNDDOWN(A56,0)</f>
        <v>0</v>
      </c>
    </row>
    <row r="57" spans="1:4" x14ac:dyDescent="0.2">
      <c r="A57" s="58">
        <v>42353</v>
      </c>
      <c r="B57" t="s">
        <v>138</v>
      </c>
      <c r="C57" s="40">
        <v>15</v>
      </c>
      <c r="D57" s="43">
        <f ca="1">TODAY()-ROUNDDOWN(A57,0)</f>
        <v>0</v>
      </c>
    </row>
    <row r="58" spans="1:4" x14ac:dyDescent="0.2">
      <c r="A58" s="58">
        <v>42353</v>
      </c>
      <c r="B58" t="s">
        <v>140</v>
      </c>
      <c r="C58" s="40">
        <v>35</v>
      </c>
      <c r="D58" s="43">
        <f ca="1">TODAY()-ROUNDDOWN(A58,0)</f>
        <v>0</v>
      </c>
    </row>
    <row r="59" spans="1:4" x14ac:dyDescent="0.2">
      <c r="A59" s="58">
        <v>42353</v>
      </c>
      <c r="B59" t="s">
        <v>137</v>
      </c>
      <c r="C59" s="40">
        <v>15</v>
      </c>
      <c r="D59" s="43">
        <f ca="1">TODAY()-ROUNDDOWN(A59,0)</f>
        <v>0</v>
      </c>
    </row>
    <row r="60" spans="1:4" x14ac:dyDescent="0.2">
      <c r="A60" s="58">
        <v>42353</v>
      </c>
      <c r="B60" t="s">
        <v>139</v>
      </c>
      <c r="C60" s="40">
        <v>30</v>
      </c>
      <c r="D60" s="43">
        <f ca="1">TODAY()-ROUNDDOWN(A60,0)</f>
        <v>0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2015-12-15T11:34:36Z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