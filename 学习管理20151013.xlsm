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1"/>
  </bookViews>
  <sheets>
    <sheet name="Sheet1" sheetId="1" r:id="rId1"/>
    <sheet name="Sheet2" sheetId="2" r:id="rId2"/>
    <sheet name="Sheet3" sheetId="3" r:id="rId3"/>
  </sheets>
  <definedNames>
    <definedName name="_xlnm._FilterDatabase" localSheetId="1" hidden="1">Sheet2!$A$1:$E$22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</workbook>
</file>

<file path=xl/calcChain.xml><?xml version="1.0" encoding="utf-8"?>
<calcChain xmlns="http://schemas.openxmlformats.org/spreadsheetml/2006/main">
  <c r="F11" i="3" l="1"/>
  <c r="F10" i="3"/>
  <c r="F9" i="3" l="1"/>
  <c r="F8" i="3" l="1"/>
  <c r="F7" i="3" l="1"/>
  <c r="F6" i="3"/>
  <c r="F5" i="3"/>
  <c r="C5" i="3"/>
  <c r="F4" i="3"/>
  <c r="C4" i="3"/>
  <c r="F3" i="3"/>
  <c r="F2" i="3"/>
  <c r="D21" i="2"/>
  <c r="D20" i="2"/>
  <c r="D15" i="2"/>
  <c r="D14" i="2"/>
  <c r="D7" i="2"/>
  <c r="D12" i="2"/>
  <c r="D19" i="2"/>
  <c r="D5" i="2"/>
  <c r="D11" i="2"/>
  <c r="D22" i="2"/>
  <c r="D18" i="2"/>
  <c r="D17" i="2"/>
  <c r="D16" i="2"/>
  <c r="D13" i="2"/>
  <c r="D10" i="2"/>
  <c r="D9" i="2"/>
  <c r="D8" i="2"/>
  <c r="D3" i="2"/>
  <c r="D6" i="2"/>
  <c r="D4" i="2"/>
  <c r="D2" i="2"/>
  <c r="A2" i="1"/>
</calcChain>
</file>

<file path=xl/sharedStrings.xml><?xml version="1.0" encoding="utf-8"?>
<sst xmlns="http://schemas.openxmlformats.org/spreadsheetml/2006/main" count="70" uniqueCount="46">
  <si>
    <t>距离今天</t>
  </si>
  <si>
    <t>记录日期</t>
  </si>
  <si>
    <t>开始时间</t>
  </si>
  <si>
    <t>结束时间</t>
  </si>
  <si>
    <t>时长</t>
  </si>
  <si>
    <t>项目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</si>
  <si>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</si>
  <si>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</si>
  <si>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</si>
  <si>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</si>
  <si>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</si>
  <si>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</si>
  <si>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</si>
  <si>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</si>
  <si>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张宇</t>
  </si>
  <si>
    <t>曼昆-经济学原理（微观分册）</t>
  </si>
  <si>
    <t>python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</si>
  <si>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</si>
  <si>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</si>
  <si>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</si>
  <si>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</si>
  <si>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</si>
  <si>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</si>
  <si>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</si>
  <si>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</si>
  <si>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</si>
  <si>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</si>
  <si>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传统课程真心太傻X。不想学了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</si>
  <si>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</si>
  <si>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</si>
  <si>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</si>
  <si>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</si>
  <si>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</si>
  <si>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</si>
  <si>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</si>
  <si>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</si>
  <si>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</si>
  <si>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</si>
  <si>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</si>
  <si>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备注</t>
    <phoneticPr fontId="4" type="noConversion"/>
  </si>
  <si>
    <t>微观经济学-中国大学MOOC</t>
    <phoneticPr fontId="4" type="noConversion"/>
  </si>
  <si>
    <t>学习时长</t>
    <phoneticPr fontId="4" type="noConversion"/>
  </si>
  <si>
    <t>微观经济学-中国大学MOOC</t>
  </si>
  <si>
    <t>微观经济学-初级</t>
    <phoneticPr fontId="4" type="noConversion"/>
  </si>
  <si>
    <t>高等数学</t>
    <phoneticPr fontId="4" type="noConversion"/>
  </si>
  <si>
    <t>微观经济学-初级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</si>
</sst>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h:mm;@"/>
    <numFmt numFmtId="177" formatCode="yyyy/m/d;@"/>
    <numFmt numFmtId="178" formatCode="[$-F400]h:mm:ss\ AM/PM"/>
  </numFmts>
  <fonts count="5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178" fontId="0" fillId="0" borderId="0">
      <alignment vertical="center"/>
    </xf>
  </cellStyleXfs>
  <cellXfs count="17">
    <xf numFmtId="178" fontId="0" fillId="0" borderId="0" xfId="0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8" fontId="2" fillId="0" borderId="0" xfId="0" applyFont="1" applyAlignment="1">
      <alignment horizontal="left" vertical="center"/>
    </xf>
    <xf numFmtId="178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8" fontId="3" fillId="0" borderId="0" xfId="0" applyFont="1" applyAlignment="1">
      <alignment horizontal="left" vertical="center"/>
    </xf>
    <xf numFmtId="178" fontId="3" fillId="0" borderId="0" xfId="0" applyFont="1">
      <alignment vertical="center"/>
    </xf>
    <xf numFmtId="0" fontId="3" fillId="0" borderId="0" xfId="0" applyNumberFormat="1" applyFont="1">
      <alignment vertical="center"/>
    </xf>
    <xf numFmtId="178" fontId="0" fillId="0" borderId="0" xfId="0" applyNumberFormat="1">
      <alignment vertical="center"/>
    </xf>
    <xf numFmtId="178" fontId="2" fillId="0" borderId="0" xfId="0" applyNumberFormat="1" applyFont="1" applyAlignment="1">
      <alignment horizontal="center" vertical="center"/>
    </xf>
    <xf numFmtId="178" fontId="2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178" fontId="3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>
          <bgColor rgb="FFFFFF0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colors>
    <mruColors>
      <color rgb="FFFF7C80"/>
      <color rgb="FFFF6699"/>
      <color rgb="FFFF6600"/>
      <color rgb="FFFF3300"/>
      <color rgb="FFFF9999"/>
      <color rgb="FF66FF66"/>
      <color rgb="FFFFFF99"/>
      <color rgb="FF33CC33"/>
      <color rgb="FF99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activeCell="A2" sqref="A2"/>
    </sheetView>
  </sheetViews>
  <sheetFormatPr defaultColWidth="9" defaultRowHeight="14.25" x14ac:dyDescent="0.2"/>
  <cols>
    <col min="1" max="1" width="11.125" style="12" customWidth="1"/>
    <col min="2" max="2" width="11.125" customWidth="1"/>
  </cols>
  <sheetData>
    <row r="1" spans="1:6" ht="16.5" x14ac:dyDescent="0.2">
      <c r="A1" s="13" t="s">
        <v>0</v>
      </c>
      <c r="B1" s="14" t="s">
        <v>1</v>
      </c>
      <c r="C1" s="14" t="s">
        <v>2</v>
      </c>
      <c r="D1" s="14" t="s">
        <v>3</v>
      </c>
      <c r="E1" s="13" t="s">
        <v>4</v>
      </c>
      <c r="F1" s="14" t="s">
        <v>5</v>
      </c>
    </row>
    <row r="2" spans="1:6" x14ac:dyDescent="0.2">
      <c r="A2" s="12">
        <f ca="1">TODAY()-B2</f>
        <v>16</v>
      </c>
      <c r="B2" s="15">
        <v>42289</v>
      </c>
    </row>
  </sheetData>
  <phoneticPr fontId="4" type="noConversion"/>
  <dataValidations count="1">
    <dataValidation type="list" errorStyle="information" allowBlank="1" showInputMessage="1" showErrorMessage="1" sqref="F1">
      <formula1>"CPA-战略,CPA-会计,MySQL-imooc"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tabSelected="1" workbookViewId="0">
      <selection activeCell="A8" sqref="A8"/>
    </sheetView>
  </sheetViews>
  <sheetFormatPr defaultColWidth="9" defaultRowHeight="16.5" x14ac:dyDescent="0.2"/>
  <cols>
    <col min="1" max="1" width="21.375" style="5" customWidth="1"/>
    <col min="2" max="2" width="43.25" style="6" customWidth="1"/>
    <col min="3" max="3" width="6" style="7" customWidth="1"/>
    <col min="4" max="4" width="9.5" style="8" customWidth="1"/>
    <col min="5" max="16384" width="9" style="6"/>
  </cols>
  <sheetData>
    <row r="1" spans="1:5" x14ac:dyDescent="0.2">
      <c r="A1" s="9" t="s">
        <v>6</v>
      </c>
      <c r="B1" s="10" t="s">
        <v>7</v>
      </c>
      <c r="C1" s="11" t="s">
        <v>8</v>
      </c>
      <c r="D1" s="8" t="s">
        <v>41</v>
      </c>
      <c r="E1" s="6" t="s">
        <v>39</v>
      </c>
    </row>
    <row r="2" spans="1:5" x14ac:dyDescent="0.2">
      <c r="A2" s="5" t="s">
        <v>9</v>
      </c>
      <c r="B2" s="6" t="s">
        <v>10</v>
      </c>
      <c r="C2" s="7">
        <v>0</v>
      </c>
      <c r="D2" s="8">
        <f>SUMIF(Sheet3!B:B,B2,Sheet3!C:C)</f>
        <v>0.1770833333333334</v>
      </c>
    </row>
    <row r="3" spans="1:5" x14ac:dyDescent="0.2">
      <c r="A3" s="5" t="s">
        <v>43</v>
      </c>
      <c r="B3" s="6" t="s">
        <v>15</v>
      </c>
      <c r="C3" s="7">
        <v>0</v>
      </c>
      <c r="D3" s="8">
        <f>SUMIF(Sheet3!B:B,B3,Sheet3!C:C)</f>
        <v>0.10416666666666666</v>
      </c>
    </row>
    <row r="4" spans="1:5" x14ac:dyDescent="0.2">
      <c r="A4" s="9" t="s">
        <v>11</v>
      </c>
      <c r="B4" s="9" t="s">
        <v>12</v>
      </c>
      <c r="C4" s="7">
        <v>0</v>
      </c>
      <c r="D4" s="8">
        <f>SUMIF(Sheet3!B:B,B4,Sheet3!C:C)</f>
        <v>0.100694444444444</v>
      </c>
    </row>
    <row r="5" spans="1:5" x14ac:dyDescent="0.2">
      <c r="A5" s="5" t="s">
        <v>11</v>
      </c>
      <c r="B5" s="5" t="s">
        <v>29</v>
      </c>
      <c r="C5" s="7">
        <v>0</v>
      </c>
      <c r="D5" s="8">
        <f>SUMIF(Sheet3!B:B,B5,Sheet3!C:C)</f>
        <v>2.0833333333333332E-2</v>
      </c>
    </row>
    <row r="6" spans="1:5" x14ac:dyDescent="0.2">
      <c r="A6" s="5" t="s">
        <v>44</v>
      </c>
      <c r="B6" s="6" t="s">
        <v>14</v>
      </c>
      <c r="C6" s="7">
        <v>0</v>
      </c>
      <c r="D6" s="8">
        <f>SUMIF(Sheet3!B:B,B6,Sheet3!C:C)</f>
        <v>0</v>
      </c>
    </row>
    <row r="7" spans="1:5" x14ac:dyDescent="0.2">
      <c r="A7" s="5" t="s">
        <v>45</v>
      </c>
      <c r="B7" s="6" t="s">
        <v>40</v>
      </c>
      <c r="C7" s="7">
        <v>0</v>
      </c>
      <c r="D7" s="8">
        <f>SUMIF(Sheet3!B:B,B7,Sheet3!C:C)</f>
        <v>4.5138888888888888E-2</v>
      </c>
    </row>
    <row r="8" spans="1:5" x14ac:dyDescent="0.2">
      <c r="A8" s="5" t="s">
        <v>16</v>
      </c>
      <c r="B8" s="5" t="s">
        <v>17</v>
      </c>
      <c r="C8" s="7">
        <v>1</v>
      </c>
      <c r="D8" s="8">
        <f>SUMIF(Sheet3!B:B,B8,Sheet3!C:C)</f>
        <v>0</v>
      </c>
    </row>
    <row r="9" spans="1:5" x14ac:dyDescent="0.2">
      <c r="A9" s="5" t="s">
        <v>11</v>
      </c>
      <c r="B9" s="5" t="s">
        <v>18</v>
      </c>
      <c r="C9" s="7">
        <v>1</v>
      </c>
      <c r="D9" s="8">
        <f>SUMIF(Sheet3!B:B,B9,Sheet3!C:C)</f>
        <v>0</v>
      </c>
    </row>
    <row r="10" spans="1:5" x14ac:dyDescent="0.2">
      <c r="A10" s="5" t="s">
        <v>11</v>
      </c>
      <c r="B10" s="5" t="s">
        <v>19</v>
      </c>
      <c r="C10" s="7">
        <v>1</v>
      </c>
      <c r="D10" s="8">
        <f>SUMIF(Sheet3!B:B,B10,Sheet3!C:C)</f>
        <v>0</v>
      </c>
    </row>
    <row r="11" spans="1:5" x14ac:dyDescent="0.2">
      <c r="A11" s="5" t="s">
        <v>11</v>
      </c>
      <c r="B11" s="5" t="s">
        <v>28</v>
      </c>
      <c r="C11" s="7">
        <v>1</v>
      </c>
      <c r="D11" s="8">
        <f>SUMIF(Sheet3!B:B,B11,Sheet3!C:C)</f>
        <v>0</v>
      </c>
    </row>
    <row r="12" spans="1:5" x14ac:dyDescent="0.2">
      <c r="A12" s="5" t="s">
        <v>13</v>
      </c>
      <c r="B12" s="6" t="s">
        <v>31</v>
      </c>
      <c r="C12" s="7">
        <v>1</v>
      </c>
      <c r="D12" s="8">
        <f>SUMIF(Sheet3!B:B,B12,Sheet3!C:C)</f>
        <v>0</v>
      </c>
    </row>
    <row r="13" spans="1:5" x14ac:dyDescent="0.2">
      <c r="A13" s="5" t="s">
        <v>20</v>
      </c>
      <c r="B13" s="5" t="s">
        <v>20</v>
      </c>
      <c r="C13" s="7">
        <v>1</v>
      </c>
      <c r="D13" s="8">
        <f>SUMIF(Sheet3!B:B,B13,Sheet3!C:C)</f>
        <v>0</v>
      </c>
    </row>
    <row r="14" spans="1:5" x14ac:dyDescent="0.2">
      <c r="A14" s="5" t="s">
        <v>20</v>
      </c>
      <c r="B14" s="6" t="s">
        <v>32</v>
      </c>
      <c r="C14" s="7">
        <v>1</v>
      </c>
      <c r="D14" s="8">
        <f>SUMIF(Sheet3!B:B,B14,Sheet3!C:C)</f>
        <v>0</v>
      </c>
    </row>
    <row r="15" spans="1:5" x14ac:dyDescent="0.2">
      <c r="A15" s="5" t="s">
        <v>20</v>
      </c>
      <c r="B15" s="6" t="s">
        <v>33</v>
      </c>
      <c r="C15" s="7">
        <v>1</v>
      </c>
      <c r="D15" s="8">
        <f>SUMIF(Sheet3!B:B,B15,Sheet3!C:C)</f>
        <v>0</v>
      </c>
    </row>
    <row r="16" spans="1:5" x14ac:dyDescent="0.2">
      <c r="A16" s="5" t="s">
        <v>21</v>
      </c>
      <c r="B16" s="6" t="s">
        <v>22</v>
      </c>
      <c r="C16" s="7">
        <v>1</v>
      </c>
      <c r="D16" s="8">
        <f>SUMIF(Sheet3!B:B,B16,Sheet3!C:C)</f>
        <v>0</v>
      </c>
    </row>
    <row r="17" spans="1:5" x14ac:dyDescent="0.2">
      <c r="A17" s="5" t="s">
        <v>21</v>
      </c>
      <c r="B17" s="6" t="s">
        <v>23</v>
      </c>
      <c r="C17" s="7">
        <v>1</v>
      </c>
      <c r="D17" s="8">
        <f>SUMIF(Sheet3!B:B,B17,Sheet3!C:C)</f>
        <v>0</v>
      </c>
    </row>
    <row r="18" spans="1:5" x14ac:dyDescent="0.2">
      <c r="A18" s="5" t="s">
        <v>11</v>
      </c>
      <c r="B18" s="5" t="s">
        <v>24</v>
      </c>
      <c r="C18" s="7">
        <v>2</v>
      </c>
      <c r="D18" s="8">
        <f>SUMIF(Sheet3!B:B,B18,Sheet3!C:C)</f>
        <v>0</v>
      </c>
    </row>
    <row r="19" spans="1:5" x14ac:dyDescent="0.2">
      <c r="A19" s="5" t="s">
        <v>11</v>
      </c>
      <c r="B19" s="5" t="s">
        <v>30</v>
      </c>
      <c r="C19" s="7">
        <v>2</v>
      </c>
      <c r="D19" s="8">
        <f>SUMIF(Sheet3!B:B,B19,Sheet3!C:C)</f>
        <v>0</v>
      </c>
    </row>
    <row r="20" spans="1:5" x14ac:dyDescent="0.2">
      <c r="A20" s="5" t="s">
        <v>20</v>
      </c>
      <c r="B20" s="6" t="s">
        <v>34</v>
      </c>
      <c r="C20" s="7">
        <v>2</v>
      </c>
      <c r="D20" s="8">
        <f>SUMIF(Sheet3!B:B,B20,Sheet3!C:C)</f>
        <v>0</v>
      </c>
    </row>
    <row r="21" spans="1:5" x14ac:dyDescent="0.2">
      <c r="A21" s="5" t="s">
        <v>21</v>
      </c>
      <c r="B21" s="6" t="s">
        <v>35</v>
      </c>
      <c r="C21" s="7">
        <v>2</v>
      </c>
      <c r="D21" s="8">
        <f>SUMIF(Sheet3!B:B,B21,Sheet3!C:C)</f>
        <v>0</v>
      </c>
    </row>
    <row r="22" spans="1:5" x14ac:dyDescent="0.2">
      <c r="A22" s="9" t="s">
        <v>25</v>
      </c>
      <c r="B22" s="10" t="s">
        <v>26</v>
      </c>
      <c r="C22" s="7">
        <v>5</v>
      </c>
      <c r="D22" s="8">
        <f>SUMIF(Sheet3!B:B,B22,Sheet3!C:C)</f>
        <v>1.4583333333332948E-2</v>
      </c>
      <c r="E22" s="16" t="s">
        <v>27</v>
      </c>
    </row>
  </sheetData>
  <autoFilter ref="A1:E22"/>
  <sortState ref="A2:E22">
    <sortCondition ref="C2:C22"/>
    <sortCondition descending="1" ref="D2:D22"/>
  </sortState>
  <phoneticPr fontId="4" type="noConversion"/>
  <conditionalFormatting sqref="A2:E22">
    <cfRule type="expression" dxfId="1" priority="2">
      <formula>$C2=0</formula>
    </cfRule>
  </conditionalFormatting>
  <conditionalFormatting sqref="A1:E1048576">
    <cfRule type="expression" dxfId="0" priority="1">
      <formula>$C2=100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"/>
  <sheetViews>
    <sheetView workbookViewId="0">
      <selection activeCell="H12" sqref="H12"/>
    </sheetView>
  </sheetViews>
  <sheetFormatPr defaultColWidth="9" defaultRowHeight="14.25" x14ac:dyDescent="0.2"/>
  <cols>
    <col min="1" max="1" width="11.5" style="1" customWidth="1"/>
    <col min="2" max="2" width="22.375" customWidth="1"/>
    <col min="3" max="3" width="10.125" style="2" customWidth="1"/>
    <col min="4" max="5" width="9" style="2"/>
    <col min="6" max="6" width="9" style="3"/>
  </cols>
  <sheetData>
    <row r="1" spans="1:6" x14ac:dyDescent="0.2">
      <c r="A1" s="1" t="s">
        <v>36</v>
      </c>
      <c r="B1" t="s">
        <v>37</v>
      </c>
      <c r="C1" s="4" t="s">
        <v>4</v>
      </c>
      <c r="D1" s="2" t="s">
        <v>2</v>
      </c>
      <c r="E1" s="2" t="s">
        <v>3</v>
      </c>
      <c r="F1" s="3" t="s">
        <v>0</v>
      </c>
    </row>
    <row r="2" spans="1:6" x14ac:dyDescent="0.2">
      <c r="A2" s="1">
        <v>42300</v>
      </c>
      <c r="B2" t="s">
        <v>10</v>
      </c>
      <c r="C2" s="2">
        <v>4.1666666666666699E-2</v>
      </c>
      <c r="F2" s="3">
        <f t="shared" ref="F2:F11" ca="1" si="0">TODAY()-A2</f>
        <v>5</v>
      </c>
    </row>
    <row r="3" spans="1:6" x14ac:dyDescent="0.2">
      <c r="A3" s="1">
        <v>42300</v>
      </c>
      <c r="B3" t="s">
        <v>15</v>
      </c>
      <c r="C3" s="2">
        <v>6.25E-2</v>
      </c>
      <c r="F3" s="3">
        <f t="shared" ca="1" si="0"/>
        <v>5</v>
      </c>
    </row>
    <row r="4" spans="1:6" x14ac:dyDescent="0.2">
      <c r="A4" s="1">
        <v>42301</v>
      </c>
      <c r="B4" t="s">
        <v>38</v>
      </c>
      <c r="C4" s="2">
        <f>E4-D4</f>
        <v>0.100694444444444</v>
      </c>
      <c r="D4" s="2">
        <v>0</v>
      </c>
      <c r="E4" s="2">
        <v>0.100694444444444</v>
      </c>
      <c r="F4" s="3">
        <f t="shared" ca="1" si="0"/>
        <v>4</v>
      </c>
    </row>
    <row r="5" spans="1:6" x14ac:dyDescent="0.2">
      <c r="A5" s="1">
        <v>42302</v>
      </c>
      <c r="B5" t="s">
        <v>26</v>
      </c>
      <c r="C5" s="2">
        <f>E5-D5</f>
        <v>1.4583333333332948E-2</v>
      </c>
      <c r="D5" s="2">
        <v>0.53125</v>
      </c>
      <c r="E5" s="2">
        <v>0.54583333333333295</v>
      </c>
      <c r="F5" s="3">
        <f t="shared" ca="1" si="0"/>
        <v>3</v>
      </c>
    </row>
    <row r="6" spans="1:6" x14ac:dyDescent="0.2">
      <c r="A6" s="1">
        <v>42303</v>
      </c>
      <c r="B6" t="s">
        <v>10</v>
      </c>
      <c r="C6" s="2">
        <v>4.1666666666666699E-2</v>
      </c>
      <c r="F6" s="3">
        <f t="shared" ca="1" si="0"/>
        <v>2</v>
      </c>
    </row>
    <row r="7" spans="1:6" x14ac:dyDescent="0.2">
      <c r="A7" s="1">
        <v>42303</v>
      </c>
      <c r="B7" t="s">
        <v>15</v>
      </c>
      <c r="C7" s="2">
        <v>4.1666666666666664E-2</v>
      </c>
      <c r="F7" s="3">
        <f t="shared" ca="1" si="0"/>
        <v>2</v>
      </c>
    </row>
    <row r="8" spans="1:6" x14ac:dyDescent="0.2">
      <c r="A8" s="1">
        <v>42304</v>
      </c>
      <c r="B8" t="s">
        <v>10</v>
      </c>
      <c r="C8" s="2">
        <v>6.25E-2</v>
      </c>
      <c r="F8" s="3">
        <f t="shared" ca="1" si="0"/>
        <v>1</v>
      </c>
    </row>
    <row r="9" spans="1:6" x14ac:dyDescent="0.2">
      <c r="A9" s="1">
        <v>42304</v>
      </c>
      <c r="B9" t="s">
        <v>29</v>
      </c>
      <c r="C9" s="2">
        <v>2.0833333333333332E-2</v>
      </c>
      <c r="F9" s="3">
        <f t="shared" ca="1" si="0"/>
        <v>1</v>
      </c>
    </row>
    <row r="10" spans="1:6" x14ac:dyDescent="0.2">
      <c r="A10" s="1">
        <v>42305</v>
      </c>
      <c r="B10" t="s">
        <v>10</v>
      </c>
      <c r="C10" s="2">
        <v>3.125E-2</v>
      </c>
      <c r="F10" s="3">
        <f t="shared" ca="1" si="0"/>
        <v>0</v>
      </c>
    </row>
    <row r="11" spans="1:6" x14ac:dyDescent="0.2">
      <c r="A11" s="1">
        <v>42305</v>
      </c>
      <c r="B11" t="s">
        <v>42</v>
      </c>
      <c r="C11" s="2">
        <v>4.5138888888888888E-2</v>
      </c>
      <c r="F11" s="3">
        <f t="shared" ca="1" si="0"/>
        <v>0</v>
      </c>
    </row>
  </sheetData>
  <phoneticPr fontId="4" type="noConversion"/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2015-10-28T14:51:54Z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