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33" i="5" l="1"/>
  <c r="C79" i="3"/>
  <c r="C78" i="3"/>
  <c r="C77" i="3" l="1"/>
  <c r="C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75" i="3" l="1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E11" i="2" l="1"/>
  <c r="H87" i="3" l="1"/>
  <c r="E4" i="2" l="1"/>
  <c r="E15" i="2" l="1"/>
  <c r="E7" i="2" l="1"/>
  <c r="G7" i="2" l="1"/>
  <c r="E3" i="2" l="1"/>
  <c r="E9" i="2" l="1"/>
  <c r="E16" i="2"/>
  <c r="E17" i="2" l="1"/>
  <c r="D22" i="3"/>
  <c r="E18" i="2" l="1"/>
  <c r="E2" i="2"/>
  <c r="D14" i="3" l="1"/>
  <c r="J3" i="1" l="1"/>
  <c r="K3" i="1"/>
  <c r="I3" i="1"/>
  <c r="G3" i="1"/>
  <c r="H3" i="1"/>
  <c r="E13" i="2" l="1"/>
  <c r="D5" i="3" l="1"/>
  <c r="E32" i="2" s="1"/>
  <c r="D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G87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<sst xmlns="http://schemas.openxmlformats.org/spreadsheetml/2006/main" count="306" uniqueCount="166">
  <si>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</si>
  <si>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</si>
  <si>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</si>
  <si>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</si>
  <si>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</si>
  <si>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</si>
  <si>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</si>
  <si>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</si>
  <si>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</si>
  <si>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</si>
  <si>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</si>
  <si>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</si>
  <si>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</si>
  <si>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</si>
  <si>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</si>
  <si>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</si>
  <si>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</si>
  <si>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</si>
  <si>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</si>
  <si>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</si>
  <si>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</si>
  <si>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</si>
  <si>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</si>
  <si>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</si>
  <si>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</si>
  <si>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</si>
  <si>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</si>
  <si>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</si>
  <si>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</si>
  <si>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</si>
  <si>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</si>
  <si>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</si>
  <si>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</si>
  <si>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</si>
  <si>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</si>
  <si>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</si>
  <si>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</si>
  <si>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</si>
  <si>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</si>
  <si>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</si>
  <si>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</si>
  <si>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</si>
  <si>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</si>
  <si>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</si>
  <si>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</si>
  <si>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</si>
  <si>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</si>
  <si>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</si>
  <si>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</si>
  <si>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</si>
  <si>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</si>
  <si>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</si>
  <si>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</si>
  <si>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</si>
  <si>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</si>
  <si>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</si>
  <si>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</si>
  <si>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</si>
  <si>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</si>
  <si>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</si>
  <si>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</si>
  <si>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</si>
  <si>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</si>
  <si>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</si>
  <si>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</si>
  <si>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</si>
  <si>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</si>
  <si>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</si>
  <si>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</si>
  <si>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</si>
  <si>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</si>
  <si>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</si>
  <si>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</si>
  <si>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</si>
  <si>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</si>
  <si>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</si>
  <si>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</si>
  <si>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</si>
  <si>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</si>
  <si>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</si>
  <si>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</si>
  <si>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</si>
  <si>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</si>
  <si>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</si>
  <si>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</si>
  <si>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</si>
  <si>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</si>
  <si>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</si>
  <si>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</si>
  <si>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</si>
  <si>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</si>
  <si>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</si>
  <si>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</si>
  <si>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</si>
  <si>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</si>
  <si>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</si>
  <si>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</si>
  <si>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</si>
  <si>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</si>
  <si>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</si>
  <si>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</si>
  <si>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</si>
  <si>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</si>
  <si>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</si>
  <si>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</si>
  <si>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</si>
  <si>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</si>
  <si>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</si>
  <si>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</si>
  <si>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</si>
  <si>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</si>
  <si>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</si>
  <si>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</si>
  <si>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</si>
  <si>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</si>
  <si>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</si>
  <si>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</si>
  <si>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</si>
  <si>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</si>
  <si>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</si>
  <si>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</si>
  <si>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</si>
  <si>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</si>
  <si>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</si>
  <si>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</si>
  <si>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</si>
  <si>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</si>
  <si>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</si>
  <si>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</si>
  <si>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</si>
  <si>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</si>
  <si>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</si>
  <si>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</si>
  <si>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</si>
  <si>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</si>
  <si>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</si>
  <si>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</si>
  <si>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</si>
  <si>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</si>
  <si>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</si>
  <si>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</si>
  <si>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</si>
  <si>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</si>
  <si>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</si>
  <si>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</si>
  <si>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</si>
  <si>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</si>
  <si>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</si>
  <si>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</si>
  <si>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</si>
  <si>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</si>
  <si>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</si>
  <si>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</si>
  <si>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</si>
  <si>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</si>
  <si>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</si>
  <si>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</si>
  <si>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</si>
  <si>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</si>
  <si>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</si>
  <si>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</si>
  <si>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</si>
  <si>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</si>
  <si>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11月22日</t>
  </si>
  <si>
    <t>11月23日</t>
  </si>
  <si>
    <t>11月24日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</si>
</sst>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177" fontId="11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  <xf numFmtId="37" fontId="0" fillId="0" borderId="0" xfId="0" applyNumberForma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90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181" formatCode="mm/dd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89"/>
      <tableStyleElement type="headerRow" dxfId="88"/>
    </tableStyle>
    <tableStyle name="学习" table="0" count="12">
      <tableStyleElement type="wholeTable" dxfId="87"/>
      <tableStyleElement type="headerRow" dxfId="86"/>
      <tableStyleElement type="totalRow" dxfId="85"/>
      <tableStyleElement type="firstColumn" dxfId="84"/>
      <tableStyleElement type="secondRowStripe" dxfId="83"/>
      <tableStyleElement type="secondColumnStripe" dxfId="82"/>
      <tableStyleElement type="firstSubtotalColumn" dxfId="81"/>
      <tableStyleElement type="firstSubtotalRow" dxfId="80"/>
      <tableStyleElement type="firstRowSubheading" dxfId="79"/>
      <tableStyleElement type="secondRowSubheading" dxfId="78"/>
      <tableStyleElement type="pageFieldLabels" dxfId="77"/>
      <tableStyleElement type="pageFieldValues" dxfId="76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33.651673495369" createdVersion="6" refreshedVersion="5" minRefreshableVersion="3" recordCount="31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24T12:06:00" count="22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</sharedItems>
      <fieldGroup base="0">
        <rangePr groupBy="days" startDate="2015-11-15T21:39:00" endDate="2015-11-24T12:06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24"/>
        </groupItems>
      </fieldGroup>
    </cacheField>
    <cacheField name="项目" numFmtId="177">
      <sharedItems count="6">
        <s v="下蹲"/>
        <s v="小腿上提"/>
        <s v="仰卧起坐"/>
        <s v="俯卧撑"/>
        <s v="眼保健操"/>
        <s v="上提水桶"/>
      </sharedItems>
    </cacheField>
    <cacheField name="距离今天" numFmtId="180">
      <sharedItems containsSemiMixedTypes="0" containsString="0" containsNumber="1" containsInteger="1" minValue="1" maxValue="10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33.651673726854" createdVersion="5" refreshedVersion="5" minRefreshableVersion="3" recordCount="76">
  <cacheSource type="worksheet">
    <worksheetSource name="data"/>
  </cacheSource>
  <cacheFields count="7">
    <cacheField name="日期" numFmtId="181">
      <sharedItems containsSemiMixedTypes="0" containsNonDate="0" containsDate="1" containsString="0" minDate="2015-10-23T00:00:00" maxDate="2015-11-25T00:00:00" count="3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37">
      <sharedItems containsSemiMixedTypes="0" containsString="0" containsNumber="1" containsInteger="1" minValue="1" maxValue="33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n v="10"/>
    <n v="30"/>
  </r>
  <r>
    <x v="1"/>
    <x v="1"/>
    <n v="10"/>
    <n v="50"/>
  </r>
  <r>
    <x v="2"/>
    <x v="2"/>
    <n v="10"/>
    <n v="13"/>
  </r>
  <r>
    <x v="3"/>
    <x v="3"/>
    <n v="10"/>
    <n v="10"/>
  </r>
  <r>
    <x v="4"/>
    <x v="0"/>
    <n v="10"/>
    <n v="30"/>
  </r>
  <r>
    <x v="5"/>
    <x v="1"/>
    <n v="10"/>
    <n v="45"/>
  </r>
  <r>
    <x v="6"/>
    <x v="2"/>
    <n v="10"/>
    <n v="20"/>
  </r>
  <r>
    <x v="7"/>
    <x v="3"/>
    <n v="10"/>
    <n v="15"/>
  </r>
  <r>
    <x v="8"/>
    <x v="3"/>
    <n v="8"/>
    <n v="20"/>
  </r>
  <r>
    <x v="8"/>
    <x v="3"/>
    <n v="8"/>
    <n v="15"/>
  </r>
  <r>
    <x v="9"/>
    <x v="1"/>
    <n v="8"/>
    <n v="35"/>
  </r>
  <r>
    <x v="9"/>
    <x v="2"/>
    <n v="8"/>
    <n v="20"/>
  </r>
  <r>
    <x v="9"/>
    <x v="3"/>
    <n v="8"/>
    <n v="15"/>
  </r>
  <r>
    <x v="9"/>
    <x v="0"/>
    <n v="8"/>
    <n v="35"/>
  </r>
  <r>
    <x v="10"/>
    <x v="4"/>
    <n v="7"/>
    <n v="1"/>
  </r>
  <r>
    <x v="11"/>
    <x v="4"/>
    <n v="6"/>
    <n v="1"/>
  </r>
  <r>
    <x v="12"/>
    <x v="3"/>
    <n v="6"/>
    <n v="15"/>
  </r>
  <r>
    <x v="13"/>
    <x v="3"/>
    <n v="5"/>
    <n v="10"/>
  </r>
  <r>
    <x v="13"/>
    <x v="3"/>
    <n v="5"/>
    <n v="15"/>
  </r>
  <r>
    <x v="13"/>
    <x v="3"/>
    <n v="5"/>
    <n v="16"/>
  </r>
  <r>
    <x v="14"/>
    <x v="5"/>
    <n v="3"/>
    <n v="10"/>
  </r>
  <r>
    <x v="14"/>
    <x v="5"/>
    <n v="3"/>
    <n v="10"/>
  </r>
  <r>
    <x v="14"/>
    <x v="5"/>
    <n v="3"/>
    <n v="10"/>
  </r>
  <r>
    <x v="14"/>
    <x v="5"/>
    <n v="3"/>
    <n v="10"/>
  </r>
  <r>
    <x v="15"/>
    <x v="5"/>
    <n v="3"/>
    <n v="10"/>
  </r>
  <r>
    <x v="16"/>
    <x v="4"/>
    <n v="2"/>
    <n v="1"/>
  </r>
  <r>
    <x v="17"/>
    <x v="3"/>
    <n v="2"/>
    <n v="17"/>
  </r>
  <r>
    <x v="18"/>
    <x v="5"/>
    <n v="2"/>
    <n v="20"/>
  </r>
  <r>
    <x v="19"/>
    <x v="5"/>
    <n v="1"/>
    <n v="10"/>
  </r>
  <r>
    <x v="20"/>
    <x v="3"/>
    <n v="1"/>
    <n v="15"/>
  </r>
  <r>
    <x v="21"/>
    <x v="3"/>
    <n v="1"/>
    <n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6">
  <r>
    <x v="0"/>
    <x v="0"/>
    <n v="33"/>
    <d v="1899-12-30T01:00:00"/>
    <m/>
    <m/>
    <m/>
  </r>
  <r>
    <x v="0"/>
    <x v="1"/>
    <n v="33"/>
    <d v="1899-12-30T01:30:00"/>
    <m/>
    <m/>
    <m/>
  </r>
  <r>
    <x v="1"/>
    <x v="2"/>
    <n v="32"/>
    <d v="1899-12-30T02:25:00"/>
    <m/>
    <d v="1899-12-30T00:00:00"/>
    <d v="1899-12-30T02:25:00"/>
  </r>
  <r>
    <x v="2"/>
    <x v="3"/>
    <n v="31"/>
    <d v="1899-12-30T00:21:00"/>
    <m/>
    <d v="1899-12-30T12:45:00"/>
    <d v="1899-12-30T13:06:00"/>
  </r>
  <r>
    <x v="3"/>
    <x v="0"/>
    <n v="30"/>
    <d v="1899-12-30T01:00:00"/>
    <m/>
    <m/>
    <m/>
  </r>
  <r>
    <x v="3"/>
    <x v="1"/>
    <n v="30"/>
    <d v="1899-12-30T01:00:00"/>
    <m/>
    <m/>
    <m/>
  </r>
  <r>
    <x v="4"/>
    <x v="0"/>
    <n v="29"/>
    <d v="1899-12-30T01:30:00"/>
    <m/>
    <m/>
    <m/>
  </r>
  <r>
    <x v="4"/>
    <x v="4"/>
    <n v="29"/>
    <d v="1899-12-30T00:30:00"/>
    <m/>
    <m/>
    <m/>
  </r>
  <r>
    <x v="5"/>
    <x v="0"/>
    <n v="28"/>
    <d v="1899-12-30T00:45:00"/>
    <m/>
    <m/>
    <m/>
  </r>
  <r>
    <x v="5"/>
    <x v="5"/>
    <n v="28"/>
    <d v="1899-12-30T01:05:00"/>
    <m/>
    <m/>
    <m/>
  </r>
  <r>
    <x v="6"/>
    <x v="0"/>
    <n v="27"/>
    <d v="1899-12-30T01:00:00"/>
    <m/>
    <m/>
    <m/>
  </r>
  <r>
    <x v="7"/>
    <x v="0"/>
    <n v="26"/>
    <d v="1899-12-30T01:00:00"/>
    <m/>
    <m/>
    <m/>
  </r>
  <r>
    <x v="8"/>
    <x v="6"/>
    <n v="25"/>
    <d v="1899-12-30T00:53:00"/>
    <m/>
    <d v="1899-12-30T14:37:00"/>
    <d v="1899-12-30T15:30:00"/>
  </r>
  <r>
    <x v="9"/>
    <x v="7"/>
    <n v="23"/>
    <d v="1899-12-30T00:45:00"/>
    <m/>
    <m/>
    <m/>
  </r>
  <r>
    <x v="10"/>
    <x v="0"/>
    <n v="22"/>
    <d v="1899-12-30T01:00:00"/>
    <m/>
    <m/>
    <m/>
  </r>
  <r>
    <x v="10"/>
    <x v="7"/>
    <n v="22"/>
    <d v="1899-12-30T00:30:00"/>
    <m/>
    <m/>
    <m/>
  </r>
  <r>
    <x v="11"/>
    <x v="0"/>
    <n v="21"/>
    <d v="1899-12-30T01:00:00"/>
    <m/>
    <m/>
    <m/>
  </r>
  <r>
    <x v="11"/>
    <x v="7"/>
    <n v="21"/>
    <d v="1899-12-30T00:30:00"/>
    <m/>
    <m/>
    <m/>
  </r>
  <r>
    <x v="11"/>
    <x v="1"/>
    <n v="21"/>
    <d v="1899-12-30T01:00:00"/>
    <m/>
    <m/>
    <m/>
  </r>
  <r>
    <x v="11"/>
    <x v="5"/>
    <n v="21"/>
    <d v="1899-12-30T01:30:00"/>
    <m/>
    <m/>
    <m/>
  </r>
  <r>
    <x v="11"/>
    <x v="8"/>
    <n v="21"/>
    <d v="1899-12-30T01:04:00"/>
    <m/>
    <d v="1899-12-30T19:41:00"/>
    <d v="1899-12-30T20:45:00"/>
  </r>
  <r>
    <x v="12"/>
    <x v="0"/>
    <n v="20"/>
    <d v="1899-12-30T01:10:00"/>
    <m/>
    <m/>
    <m/>
  </r>
  <r>
    <x v="12"/>
    <x v="9"/>
    <n v="20"/>
    <d v="1899-12-30T00:30:00"/>
    <m/>
    <m/>
    <m/>
  </r>
  <r>
    <x v="12"/>
    <x v="10"/>
    <n v="20"/>
    <d v="1899-12-30T01:00:00"/>
    <m/>
    <m/>
    <m/>
  </r>
  <r>
    <x v="13"/>
    <x v="0"/>
    <n v="19"/>
    <d v="1899-12-30T01:00:00"/>
    <m/>
    <m/>
    <m/>
  </r>
  <r>
    <x v="13"/>
    <x v="7"/>
    <n v="19"/>
    <d v="1899-12-30T00:45:00"/>
    <m/>
    <m/>
    <m/>
  </r>
  <r>
    <x v="13"/>
    <x v="10"/>
    <n v="19"/>
    <d v="1899-12-30T01:00:00"/>
    <m/>
    <m/>
    <m/>
  </r>
  <r>
    <x v="14"/>
    <x v="9"/>
    <n v="18"/>
    <d v="1899-12-30T00:30:00"/>
    <m/>
    <m/>
    <m/>
  </r>
  <r>
    <x v="14"/>
    <x v="10"/>
    <n v="18"/>
    <d v="1899-12-30T02:30:00"/>
    <m/>
    <m/>
    <m/>
  </r>
  <r>
    <x v="15"/>
    <x v="1"/>
    <n v="17"/>
    <d v="1899-12-30T00:45:00"/>
    <m/>
    <m/>
    <m/>
  </r>
  <r>
    <x v="15"/>
    <x v="5"/>
    <n v="17"/>
    <d v="1899-12-30T00:30:00"/>
    <m/>
    <m/>
    <m/>
  </r>
  <r>
    <x v="15"/>
    <x v="9"/>
    <n v="17"/>
    <d v="1899-12-30T00:45:00"/>
    <s v="初步了解mathematica"/>
    <m/>
    <m/>
  </r>
  <r>
    <x v="16"/>
    <x v="10"/>
    <n v="16"/>
    <d v="1899-12-30T01:00:00"/>
    <m/>
    <m/>
    <m/>
  </r>
  <r>
    <x v="16"/>
    <x v="0"/>
    <n v="16"/>
    <d v="1899-12-30T01:00:00"/>
    <m/>
    <m/>
    <m/>
  </r>
  <r>
    <x v="16"/>
    <x v="7"/>
    <n v="16"/>
    <d v="1899-12-30T00:30:00"/>
    <m/>
    <m/>
    <m/>
  </r>
  <r>
    <x v="16"/>
    <x v="11"/>
    <n v="16"/>
    <d v="1899-12-30T01:15:00"/>
    <m/>
    <m/>
    <m/>
  </r>
  <r>
    <x v="17"/>
    <x v="0"/>
    <n v="15"/>
    <d v="1899-12-30T00:30:00"/>
    <s v="第24讲是宏表函数，觉得并没有什么用，没怎么看"/>
    <m/>
    <m/>
  </r>
  <r>
    <x v="17"/>
    <x v="7"/>
    <n v="15"/>
    <d v="1899-12-30T00:30:00"/>
    <m/>
    <m/>
    <m/>
  </r>
  <r>
    <x v="18"/>
    <x v="12"/>
    <n v="14"/>
    <d v="1899-12-30T01:00:00"/>
    <m/>
    <m/>
    <m/>
  </r>
  <r>
    <x v="18"/>
    <x v="11"/>
    <n v="14"/>
    <d v="1899-12-30T00:45:00"/>
    <m/>
    <m/>
    <m/>
  </r>
  <r>
    <x v="19"/>
    <x v="11"/>
    <n v="13"/>
    <d v="1899-12-30T01:00:00"/>
    <m/>
    <m/>
    <m/>
  </r>
  <r>
    <x v="19"/>
    <x v="7"/>
    <n v="13"/>
    <d v="1899-12-30T00:40:00"/>
    <m/>
    <m/>
    <m/>
  </r>
  <r>
    <x v="20"/>
    <x v="11"/>
    <n v="12"/>
    <d v="1899-12-30T01:10:00"/>
    <m/>
    <m/>
    <m/>
  </r>
  <r>
    <x v="20"/>
    <x v="7"/>
    <n v="12"/>
    <d v="1899-12-30T00:30:00"/>
    <m/>
    <m/>
    <m/>
  </r>
  <r>
    <x v="21"/>
    <x v="13"/>
    <n v="10"/>
    <d v="1899-12-30T02:00:00"/>
    <m/>
    <m/>
    <m/>
  </r>
  <r>
    <x v="22"/>
    <x v="7"/>
    <n v="9"/>
    <d v="1899-12-30T00:30:00"/>
    <m/>
    <m/>
    <m/>
  </r>
  <r>
    <x v="22"/>
    <x v="12"/>
    <n v="9"/>
    <d v="1899-12-30T01:00:00"/>
    <m/>
    <m/>
    <m/>
  </r>
  <r>
    <x v="22"/>
    <x v="11"/>
    <n v="9"/>
    <d v="1899-12-30T00:30:00"/>
    <m/>
    <m/>
    <m/>
  </r>
  <r>
    <x v="22"/>
    <x v="13"/>
    <n v="9"/>
    <d v="1899-12-30T01:00:00"/>
    <m/>
    <m/>
    <m/>
  </r>
  <r>
    <x v="22"/>
    <x v="13"/>
    <n v="9"/>
    <d v="1899-12-30T00:30:00"/>
    <m/>
    <m/>
    <m/>
  </r>
  <r>
    <x v="23"/>
    <x v="11"/>
    <n v="8"/>
    <d v="1899-12-30T00:45:00"/>
    <m/>
    <m/>
    <m/>
  </r>
  <r>
    <x v="23"/>
    <x v="7"/>
    <n v="8"/>
    <d v="1899-12-30T00:30:00"/>
    <m/>
    <m/>
    <m/>
  </r>
  <r>
    <x v="23"/>
    <x v="12"/>
    <n v="8"/>
    <d v="1899-12-30T00:45:00"/>
    <m/>
    <m/>
    <m/>
  </r>
  <r>
    <x v="23"/>
    <x v="14"/>
    <n v="8"/>
    <d v="1899-12-30T01:00:00"/>
    <m/>
    <m/>
    <m/>
  </r>
  <r>
    <x v="24"/>
    <x v="11"/>
    <n v="7"/>
    <d v="1899-12-30T00:45:00"/>
    <m/>
    <m/>
    <m/>
  </r>
  <r>
    <x v="24"/>
    <x v="7"/>
    <n v="7"/>
    <d v="1899-12-30T00:30:00"/>
    <m/>
    <m/>
    <m/>
  </r>
  <r>
    <x v="24"/>
    <x v="13"/>
    <n v="7"/>
    <d v="1899-12-30T00:30:00"/>
    <m/>
    <m/>
    <m/>
  </r>
  <r>
    <x v="25"/>
    <x v="13"/>
    <n v="6"/>
    <d v="1899-12-30T01:15:00"/>
    <m/>
    <m/>
    <m/>
  </r>
  <r>
    <x v="25"/>
    <x v="11"/>
    <n v="6"/>
    <d v="1899-12-30T00:30:00"/>
    <m/>
    <m/>
    <m/>
  </r>
  <r>
    <x v="25"/>
    <x v="9"/>
    <n v="6"/>
    <d v="1899-12-30T00:45:00"/>
    <m/>
    <m/>
    <m/>
  </r>
  <r>
    <x v="25"/>
    <x v="7"/>
    <n v="6"/>
    <d v="1899-12-30T00:45:00"/>
    <m/>
    <m/>
    <m/>
  </r>
  <r>
    <x v="25"/>
    <x v="12"/>
    <n v="6"/>
    <d v="1899-12-30T01:00:00"/>
    <m/>
    <m/>
    <m/>
  </r>
  <r>
    <x v="25"/>
    <x v="14"/>
    <n v="6"/>
    <d v="1899-12-30T02:00:00"/>
    <m/>
    <m/>
    <m/>
  </r>
  <r>
    <x v="26"/>
    <x v="11"/>
    <n v="5"/>
    <d v="1899-12-30T00:50:00"/>
    <m/>
    <m/>
    <m/>
  </r>
  <r>
    <x v="26"/>
    <x v="7"/>
    <n v="5"/>
    <d v="1899-12-30T00:40:00"/>
    <m/>
    <m/>
    <m/>
  </r>
  <r>
    <x v="26"/>
    <x v="10"/>
    <n v="5"/>
    <d v="1899-12-30T00:40:00"/>
    <m/>
    <m/>
    <m/>
  </r>
  <r>
    <x v="26"/>
    <x v="12"/>
    <n v="5"/>
    <d v="1899-12-30T01:00:00"/>
    <m/>
    <m/>
    <m/>
  </r>
  <r>
    <x v="26"/>
    <x v="14"/>
    <n v="5"/>
    <d v="1899-12-30T02:00:00"/>
    <m/>
    <m/>
    <m/>
  </r>
  <r>
    <x v="27"/>
    <x v="14"/>
    <n v="4"/>
    <d v="1899-12-30T01:25:00"/>
    <s v="学习起来比较困难，搁浅"/>
    <m/>
    <m/>
  </r>
  <r>
    <x v="28"/>
    <x v="13"/>
    <n v="3"/>
    <d v="1899-12-30T00:30:00"/>
    <m/>
    <m/>
    <m/>
  </r>
  <r>
    <x v="28"/>
    <x v="7"/>
    <n v="3"/>
    <d v="1899-12-30T00:30:00"/>
    <m/>
    <m/>
    <m/>
  </r>
  <r>
    <x v="29"/>
    <x v="7"/>
    <n v="2"/>
    <d v="1899-12-30T00:35:00"/>
    <m/>
    <m/>
    <m/>
  </r>
  <r>
    <x v="29"/>
    <x v="12"/>
    <n v="2"/>
    <d v="1899-12-30T00:30:00"/>
    <m/>
    <m/>
    <m/>
  </r>
  <r>
    <x v="29"/>
    <x v="13"/>
    <n v="2"/>
    <d v="1899-12-30T00:45:00"/>
    <m/>
    <m/>
    <m/>
  </r>
  <r>
    <x v="30"/>
    <x v="7"/>
    <n v="1"/>
    <d v="1899-12-30T00:45:00"/>
    <m/>
    <m/>
    <m/>
  </r>
  <r>
    <x v="30"/>
    <x v="11"/>
    <n v="1"/>
    <d v="1899-12-30T01:0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89:E95" firstHeaderRow="1" firstDataRow="2" firstDataCol="1"/>
  <pivotFields count="7">
    <pivotField axis="axisCol" numFmtId="181" showAll="0" sortType="descending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4"/>
    </i>
    <i>
      <x v="6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3" baseField="0" baseItem="3" numFmtId="176"/>
  </dataFields>
  <formats count="22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1" type="button" dataOnly="0" labelOnly="1" outline="0" axis="axisRow" fieldPosition="0"/>
    </format>
    <format dxfId="55">
      <pivotArea dataOnly="0" labelOnly="1" fieldPosition="0">
        <references count="1">
          <reference field="1" count="1">
            <x v="0"/>
          </reference>
        </references>
      </pivotArea>
    </format>
    <format dxfId="5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3">
      <pivotArea field="1" type="button" dataOnly="0" labelOnly="1" outline="0" axis="axisRow" fieldPosition="0"/>
    </format>
    <format dxfId="52">
      <pivotArea dataOnly="0" labelOnly="1" fieldPosition="0">
        <references count="1">
          <reference field="1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1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46">
      <pivotArea dataOnly="0" labelOnly="1" fieldPosition="0">
        <references count="1">
          <reference field="0" count="1">
            <x v="1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J50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7">
        <item x="3"/>
        <item x="0"/>
        <item x="1"/>
        <item x="2"/>
        <item x="4"/>
        <item x="5"/>
        <item t="default"/>
      </items>
    </pivotField>
    <pivotField numFmtId="180" showAll="0" defaultSubtotal="0"/>
    <pivotField dataField="1" showAll="0"/>
  </pivotFields>
  <rowFields count="1">
    <field x="1"/>
  </rowFields>
  <rowItems count="4">
    <i>
      <x/>
    </i>
    <i>
      <x v="4"/>
    </i>
    <i>
      <x v="5"/>
    </i>
    <i t="grand">
      <x/>
    </i>
  </rowItems>
  <colFields count="1">
    <field x="0"/>
  </colFields>
  <colItems count="4">
    <i>
      <x v="319"/>
    </i>
    <i>
      <x v="320"/>
    </i>
    <i>
      <x v="321"/>
    </i>
    <i t="grand">
      <x/>
    </i>
  </colItems>
  <dataFields count="1">
    <dataField name="求和项:次数/时长" fld="3" baseField="0" baseItem="0"/>
  </dataFields>
  <formats count="1">
    <format dxfId="45">
      <pivotArea type="all" dataOnly="0" outline="0" fieldPosition="0"/>
    </format>
  </formats>
  <pivotTableStyleInfo name="PivotStyleLight16" showRowHeaders="1" showColHeaders="1" showRowStripes="0" showColStripes="1" showLastColumn="1"/>
  <filters count="1">
    <filter fld="0" type="thisWeek" evalOrder="-1" id="1">
      <autoFilter ref="A1">
        <filterColumn colId="0">
          <dynamicFilter type="thisWeek" val="42330" maxVal="4233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G79">
  <autoFilter ref="A1:G79"/>
  <tableColumns count="7">
    <tableColumn id="1" name="日期" totalsRowLabel="汇总" dataDxfId="17" totalsRowDxfId="18"/>
    <tableColumn id="2" name="科目" totalsRowDxfId="16"/>
    <tableColumn id="3" name="距离今天" dataDxfId="14" totalsRowDxfId="15">
      <calculatedColumnFormula>TODAY()-A2</calculatedColumnFormula>
    </tableColumn>
    <tableColumn id="4" name="时长" dataDxfId="12" totalsRowDxfId="13"/>
    <tableColumn id="5" name="备注" dataDxfId="10" totalsRowDxfId="11"/>
    <tableColumn id="6" name="开始时间" dataDxfId="8" totalsRowDxfId="9"/>
    <tableColumn id="7" name="结束时间" totalsRowFunction="count" dataDxfId="6" totalsRowDxfId="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33" totalsRowShown="0">
  <autoFilter ref="A1:D33"/>
  <tableColumns count="4">
    <tableColumn id="1" name="时间" dataDxfId="44"/>
    <tableColumn id="2" name="项目"/>
    <tableColumn id="3" name="距离今天" dataDxfId="43">
      <calculatedColumnFormula>TODAY()-ROUNDDOWN(A2,0)</calculatedColumnFormula>
    </tableColumn>
    <tableColumn id="4" name="次数/时长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31</v>
      </c>
      <c r="H3" s="13">
        <f ca="1">H2-TODAY()</f>
        <v>75</v>
      </c>
      <c r="I3" s="13">
        <f ca="1">I2-TODAY()</f>
        <v>135</v>
      </c>
      <c r="J3" s="13">
        <f ca="1">J2-TODAY()</f>
        <v>213</v>
      </c>
      <c r="K3" s="13">
        <f ca="1">K2-TODAY()</f>
        <v>395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75" priority="1">
      <formula>$A1="graduate"</formula>
    </cfRule>
    <cfRule type="expression" dxfId="74" priority="2">
      <formula>$A1="CS"</formula>
    </cfRule>
    <cfRule type="expression" dxfId="73" priority="3">
      <formula>$A1="python"</formula>
    </cfRule>
  </conditionalFormatting>
  <conditionalFormatting sqref="B22:D22">
    <cfRule type="expression" dxfId="72" priority="13">
      <formula>$A30="graduate"</formula>
    </cfRule>
    <cfRule type="expression" dxfId="71" priority="14">
      <formula>$A30="CS"</formula>
    </cfRule>
    <cfRule type="expression" dxfId="7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6" workbookViewId="0">
      <selection activeCell="E7" sqref="E7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0.44791666666666674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0.39583333333333331</v>
      </c>
    </row>
    <row r="4" spans="1:7">
      <c r="A4" s="2" t="s">
        <v>37</v>
      </c>
      <c r="C4" s="2" t="s">
        <v>153</v>
      </c>
      <c r="D4" s="4">
        <v>1</v>
      </c>
      <c r="E4" s="5">
        <f>SUMIF(学习记录!B:B,C4,学习记录!D:D)</f>
        <v>0.30208333333333337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0.23958333333333334</v>
      </c>
      <c r="F7" s="33">
        <v>0.58333333333333337</v>
      </c>
      <c r="G7" s="32">
        <f>E7/F7</f>
        <v>0.4107142857142857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SUMIF(学习记录!B:B,C11,学习记录!D:D)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69" priority="6">
      <formula>$D1=1</formula>
    </cfRule>
  </conditionalFormatting>
  <conditionalFormatting sqref="A1:G1048576">
    <cfRule type="expression" dxfId="6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C168"/>
  <sheetViews>
    <sheetView tabSelected="1" topLeftCell="A67" workbookViewId="0">
      <selection activeCell="D85" sqref="D85"/>
    </sheetView>
  </sheetViews>
  <sheetFormatPr defaultColWidth="9" defaultRowHeight="13.5"/>
  <cols>
    <col min="1" max="1" width="6.5" style="55" bestFit="1" customWidth="1"/>
    <col min="2" max="2" width="24.75" customWidth="1"/>
    <col min="3" max="3" width="11.875" style="35" customWidth="1"/>
    <col min="4" max="4" width="11.875" style="34" customWidth="1"/>
    <col min="5" max="5" width="10.875" style="42" customWidth="1"/>
    <col min="6" max="6" width="10.25" style="1" bestFit="1" customWidth="1"/>
    <col min="7" max="7" width="10.25" style="1" customWidth="1"/>
    <col min="8" max="8" width="19.875" style="49" customWidth="1"/>
    <col min="9" max="9" width="13.25" style="34" bestFit="1" customWidth="1"/>
    <col min="10" max="10" width="14.125" style="35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55" t="s">
        <v>31</v>
      </c>
      <c r="B1" t="s">
        <v>32</v>
      </c>
      <c r="C1" s="35" t="s">
        <v>0</v>
      </c>
      <c r="D1" s="36" t="s">
        <v>3</v>
      </c>
      <c r="E1" s="47" t="s">
        <v>154</v>
      </c>
      <c r="F1" s="1" t="s">
        <v>1</v>
      </c>
      <c r="G1" s="1" t="s">
        <v>2</v>
      </c>
    </row>
    <row r="2" spans="1:7">
      <c r="A2" s="55">
        <v>42300</v>
      </c>
      <c r="B2" t="s">
        <v>8</v>
      </c>
      <c r="C2" s="59">
        <f t="shared" ref="C2:C50" ca="1" si="0">TODAY()-A2</f>
        <v>33</v>
      </c>
      <c r="D2" s="34">
        <v>4.1666666666666699E-2</v>
      </c>
    </row>
    <row r="3" spans="1:7">
      <c r="A3" s="55">
        <v>42300</v>
      </c>
      <c r="B3" t="s">
        <v>12</v>
      </c>
      <c r="C3" s="59">
        <f t="shared" ca="1" si="0"/>
        <v>33</v>
      </c>
      <c r="D3" s="34">
        <v>6.25E-2</v>
      </c>
    </row>
    <row r="4" spans="1:7">
      <c r="A4" s="55">
        <v>42301</v>
      </c>
      <c r="B4" t="s">
        <v>33</v>
      </c>
      <c r="C4" s="59">
        <f t="shared" ca="1" si="0"/>
        <v>32</v>
      </c>
      <c r="D4" s="34">
        <f>G4-F4</f>
        <v>0.100694444444444</v>
      </c>
      <c r="F4" s="1">
        <v>0</v>
      </c>
      <c r="G4" s="1">
        <v>0.100694444444444</v>
      </c>
    </row>
    <row r="5" spans="1:7">
      <c r="A5" s="55">
        <v>42302</v>
      </c>
      <c r="B5" t="s">
        <v>22</v>
      </c>
      <c r="C5" s="59">
        <f t="shared" ca="1" si="0"/>
        <v>31</v>
      </c>
      <c r="D5" s="34">
        <f>G5-F5</f>
        <v>1.4583333333332948E-2</v>
      </c>
      <c r="F5" s="1">
        <v>0.53125</v>
      </c>
      <c r="G5" s="1">
        <v>0.54583333333333295</v>
      </c>
    </row>
    <row r="6" spans="1:7">
      <c r="A6" s="55">
        <v>42303</v>
      </c>
      <c r="B6" t="s">
        <v>8</v>
      </c>
      <c r="C6" s="59">
        <f t="shared" ca="1" si="0"/>
        <v>30</v>
      </c>
      <c r="D6" s="34">
        <v>4.1666666666666699E-2</v>
      </c>
    </row>
    <row r="7" spans="1:7">
      <c r="A7" s="55">
        <v>42303</v>
      </c>
      <c r="B7" t="s">
        <v>12</v>
      </c>
      <c r="C7" s="59">
        <f t="shared" ca="1" si="0"/>
        <v>30</v>
      </c>
      <c r="D7" s="34">
        <v>4.1666666666666664E-2</v>
      </c>
    </row>
    <row r="8" spans="1:7">
      <c r="A8" s="55">
        <v>42304</v>
      </c>
      <c r="B8" t="s">
        <v>8</v>
      </c>
      <c r="C8" s="59">
        <f t="shared" ca="1" si="0"/>
        <v>29</v>
      </c>
      <c r="D8" s="34">
        <v>6.25E-2</v>
      </c>
    </row>
    <row r="9" spans="1:7">
      <c r="A9" s="55">
        <v>42304</v>
      </c>
      <c r="B9" t="s">
        <v>24</v>
      </c>
      <c r="C9" s="59">
        <f t="shared" ca="1" si="0"/>
        <v>29</v>
      </c>
      <c r="D9" s="34">
        <v>2.0833333333333332E-2</v>
      </c>
    </row>
    <row r="10" spans="1:7">
      <c r="A10" s="55">
        <v>42305</v>
      </c>
      <c r="B10" t="s">
        <v>8</v>
      </c>
      <c r="C10" s="59">
        <f t="shared" ca="1" si="0"/>
        <v>28</v>
      </c>
      <c r="D10" s="34">
        <v>3.125E-2</v>
      </c>
    </row>
    <row r="11" spans="1:7">
      <c r="A11" s="55">
        <v>42305</v>
      </c>
      <c r="B11" t="s">
        <v>36</v>
      </c>
      <c r="C11" s="59">
        <f t="shared" ca="1" si="0"/>
        <v>28</v>
      </c>
      <c r="D11" s="34">
        <v>4.5138888888888888E-2</v>
      </c>
    </row>
    <row r="12" spans="1:7">
      <c r="A12" s="55">
        <v>42306</v>
      </c>
      <c r="B12" t="s">
        <v>8</v>
      </c>
      <c r="C12" s="59">
        <f t="shared" ca="1" si="0"/>
        <v>27</v>
      </c>
      <c r="D12" s="34">
        <v>4.1666666666666664E-2</v>
      </c>
    </row>
    <row r="13" spans="1:7">
      <c r="A13" s="55">
        <v>42307</v>
      </c>
      <c r="B13" t="s">
        <v>8</v>
      </c>
      <c r="C13" s="59">
        <f t="shared" ca="1" si="0"/>
        <v>26</v>
      </c>
      <c r="D13" s="34">
        <v>4.1666666666666664E-2</v>
      </c>
    </row>
    <row r="14" spans="1:7">
      <c r="A14" s="55">
        <v>42308</v>
      </c>
      <c r="B14" t="s">
        <v>83</v>
      </c>
      <c r="C14" s="59">
        <f t="shared" ca="1" si="0"/>
        <v>25</v>
      </c>
      <c r="D14" s="34">
        <f>G14-F14</f>
        <v>3.6805555555555536E-2</v>
      </c>
      <c r="F14" s="1">
        <v>0.60902777777777783</v>
      </c>
      <c r="G14" s="1">
        <v>0.64583333333333337</v>
      </c>
    </row>
    <row r="15" spans="1:7">
      <c r="A15" s="55">
        <v>42310</v>
      </c>
      <c r="B15" t="s">
        <v>86</v>
      </c>
      <c r="C15" s="59">
        <f t="shared" ca="1" si="0"/>
        <v>23</v>
      </c>
      <c r="D15" s="34">
        <v>3.125E-2</v>
      </c>
    </row>
    <row r="16" spans="1:7">
      <c r="A16" s="55">
        <v>42311</v>
      </c>
      <c r="B16" t="s">
        <v>8</v>
      </c>
      <c r="C16" s="59">
        <f t="shared" ca="1" si="0"/>
        <v>22</v>
      </c>
      <c r="D16" s="34">
        <v>4.1666666666666664E-2</v>
      </c>
    </row>
    <row r="17" spans="1:7">
      <c r="A17" s="55">
        <v>42311</v>
      </c>
      <c r="B17" t="s">
        <v>86</v>
      </c>
      <c r="C17" s="59">
        <f t="shared" ca="1" si="0"/>
        <v>22</v>
      </c>
      <c r="D17" s="34">
        <v>2.0833333333333332E-2</v>
      </c>
    </row>
    <row r="18" spans="1:7">
      <c r="A18" s="55">
        <v>42312</v>
      </c>
      <c r="B18" t="s">
        <v>8</v>
      </c>
      <c r="C18" s="59">
        <f t="shared" ca="1" si="0"/>
        <v>21</v>
      </c>
      <c r="D18" s="34">
        <v>4.1666666666666664E-2</v>
      </c>
    </row>
    <row r="19" spans="1:7">
      <c r="A19" s="55">
        <v>42312</v>
      </c>
      <c r="B19" t="s">
        <v>86</v>
      </c>
      <c r="C19" s="59">
        <f t="shared" ca="1" si="0"/>
        <v>21</v>
      </c>
      <c r="D19" s="34">
        <v>2.0833333333333332E-2</v>
      </c>
    </row>
    <row r="20" spans="1:7">
      <c r="A20" s="55">
        <v>42312</v>
      </c>
      <c r="B20" t="s">
        <v>12</v>
      </c>
      <c r="C20" s="59">
        <f t="shared" ca="1" si="0"/>
        <v>21</v>
      </c>
      <c r="D20" s="34">
        <v>4.1666666666666664E-2</v>
      </c>
    </row>
    <row r="21" spans="1:7">
      <c r="A21" s="55">
        <v>42312</v>
      </c>
      <c r="B21" t="s">
        <v>36</v>
      </c>
      <c r="C21" s="59">
        <f t="shared" ca="1" si="0"/>
        <v>21</v>
      </c>
      <c r="D21" s="34">
        <v>6.25E-2</v>
      </c>
    </row>
    <row r="22" spans="1:7">
      <c r="A22" s="55">
        <v>42312</v>
      </c>
      <c r="B22" t="s">
        <v>104</v>
      </c>
      <c r="C22" s="59">
        <f t="shared" ca="1" si="0"/>
        <v>21</v>
      </c>
      <c r="D22" s="34">
        <f>G22-F22</f>
        <v>4.4444444444444509E-2</v>
      </c>
      <c r="F22" s="1">
        <v>0.82013888888888886</v>
      </c>
      <c r="G22" s="1">
        <v>0.86458333333333337</v>
      </c>
    </row>
    <row r="23" spans="1:7">
      <c r="A23" s="55">
        <v>42313</v>
      </c>
      <c r="B23" t="s">
        <v>8</v>
      </c>
      <c r="C23" s="59">
        <f t="shared" ca="1" si="0"/>
        <v>20</v>
      </c>
      <c r="D23" s="34">
        <v>4.8611111111111112E-2</v>
      </c>
    </row>
    <row r="24" spans="1:7">
      <c r="A24" s="55">
        <v>42313</v>
      </c>
      <c r="B24" t="s">
        <v>109</v>
      </c>
      <c r="C24" s="59">
        <f t="shared" ca="1" si="0"/>
        <v>20</v>
      </c>
      <c r="D24" s="34">
        <v>2.0833333333333332E-2</v>
      </c>
    </row>
    <row r="25" spans="1:7">
      <c r="A25" s="55">
        <v>42313</v>
      </c>
      <c r="B25" t="s">
        <v>14</v>
      </c>
      <c r="C25" s="59">
        <f t="shared" ca="1" si="0"/>
        <v>20</v>
      </c>
      <c r="D25" s="34">
        <v>4.1666666666666664E-2</v>
      </c>
    </row>
    <row r="26" spans="1:7">
      <c r="A26" s="55">
        <v>42314</v>
      </c>
      <c r="B26" t="s">
        <v>8</v>
      </c>
      <c r="C26" s="59">
        <f t="shared" ca="1" si="0"/>
        <v>19</v>
      </c>
      <c r="D26" s="34">
        <v>4.1666666666666664E-2</v>
      </c>
    </row>
    <row r="27" spans="1:7">
      <c r="A27" s="55">
        <v>42314</v>
      </c>
      <c r="B27" t="s">
        <v>86</v>
      </c>
      <c r="C27" s="59">
        <f t="shared" ca="1" si="0"/>
        <v>19</v>
      </c>
      <c r="D27" s="34">
        <v>3.125E-2</v>
      </c>
    </row>
    <row r="28" spans="1:7">
      <c r="A28" s="55">
        <v>42314</v>
      </c>
      <c r="B28" t="s">
        <v>14</v>
      </c>
      <c r="C28" s="59">
        <f t="shared" ca="1" si="0"/>
        <v>19</v>
      </c>
      <c r="D28" s="34">
        <v>4.1666666666666664E-2</v>
      </c>
    </row>
    <row r="29" spans="1:7">
      <c r="A29" s="55">
        <v>42315</v>
      </c>
      <c r="B29" t="s">
        <v>109</v>
      </c>
      <c r="C29" s="59">
        <f t="shared" ca="1" si="0"/>
        <v>18</v>
      </c>
      <c r="D29" s="34">
        <v>2.0833333333333332E-2</v>
      </c>
    </row>
    <row r="30" spans="1:7">
      <c r="A30" s="55">
        <v>42315</v>
      </c>
      <c r="B30" t="s">
        <v>14</v>
      </c>
      <c r="C30" s="59">
        <f t="shared" ca="1" si="0"/>
        <v>18</v>
      </c>
      <c r="D30" s="34">
        <v>0.10416666666666667</v>
      </c>
      <c r="E30" s="43"/>
    </row>
    <row r="31" spans="1:7">
      <c r="A31" s="55">
        <v>42316</v>
      </c>
      <c r="B31" t="s">
        <v>12</v>
      </c>
      <c r="C31" s="59">
        <f t="shared" ca="1" si="0"/>
        <v>17</v>
      </c>
      <c r="D31" s="34">
        <v>3.125E-2</v>
      </c>
    </row>
    <row r="32" spans="1:7">
      <c r="A32" s="55">
        <v>42316</v>
      </c>
      <c r="B32" t="s">
        <v>36</v>
      </c>
      <c r="C32" s="59">
        <f t="shared" ca="1" si="0"/>
        <v>17</v>
      </c>
      <c r="D32" s="34">
        <v>2.0833333333333332E-2</v>
      </c>
    </row>
    <row r="33" spans="1:5">
      <c r="A33" s="55">
        <v>42316</v>
      </c>
      <c r="B33" t="s">
        <v>109</v>
      </c>
      <c r="C33" s="59">
        <f t="shared" ca="1" si="0"/>
        <v>17</v>
      </c>
      <c r="D33" s="34">
        <v>3.125E-2</v>
      </c>
      <c r="E33" s="43" t="s">
        <v>114</v>
      </c>
    </row>
    <row r="34" spans="1:5">
      <c r="A34" s="55">
        <v>42317</v>
      </c>
      <c r="B34" t="s">
        <v>14</v>
      </c>
      <c r="C34" s="59">
        <f t="shared" ca="1" si="0"/>
        <v>16</v>
      </c>
      <c r="D34" s="37">
        <v>4.1666666666666664E-2</v>
      </c>
    </row>
    <row r="35" spans="1:5">
      <c r="A35" s="55">
        <v>42317</v>
      </c>
      <c r="B35" t="s">
        <v>8</v>
      </c>
      <c r="C35" s="59">
        <f t="shared" ca="1" si="0"/>
        <v>16</v>
      </c>
      <c r="D35" s="34">
        <v>4.1666666666666664E-2</v>
      </c>
    </row>
    <row r="36" spans="1:5">
      <c r="A36" s="55">
        <v>42317</v>
      </c>
      <c r="B36" t="s">
        <v>86</v>
      </c>
      <c r="C36" s="59">
        <f t="shared" ca="1" si="0"/>
        <v>16</v>
      </c>
      <c r="D36" s="34">
        <v>2.0833333333333332E-2</v>
      </c>
    </row>
    <row r="37" spans="1:5">
      <c r="A37" s="55">
        <v>42317</v>
      </c>
      <c r="B37" t="s">
        <v>117</v>
      </c>
      <c r="C37" s="59">
        <f t="shared" ca="1" si="0"/>
        <v>16</v>
      </c>
      <c r="D37" s="34">
        <v>5.2083333333333336E-2</v>
      </c>
    </row>
    <row r="38" spans="1:5" ht="15.75" customHeight="1">
      <c r="A38" s="55">
        <v>42318</v>
      </c>
      <c r="B38" t="s">
        <v>8</v>
      </c>
      <c r="C38" s="59">
        <f t="shared" ca="1" si="0"/>
        <v>15</v>
      </c>
      <c r="D38" s="34">
        <v>2.0833333333333332E-2</v>
      </c>
      <c r="E38" s="46" t="s">
        <v>122</v>
      </c>
    </row>
    <row r="39" spans="1:5">
      <c r="A39" s="55">
        <v>42318</v>
      </c>
      <c r="B39" t="s">
        <v>86</v>
      </c>
      <c r="C39" s="59">
        <f t="shared" ca="1" si="0"/>
        <v>15</v>
      </c>
      <c r="D39" s="34">
        <v>2.0833333333333332E-2</v>
      </c>
    </row>
    <row r="40" spans="1:5">
      <c r="A40" s="55">
        <v>42319</v>
      </c>
      <c r="B40" t="s">
        <v>130</v>
      </c>
      <c r="C40" s="59">
        <f t="shared" ca="1" si="0"/>
        <v>14</v>
      </c>
      <c r="D40" s="34">
        <v>4.1666666666666664E-2</v>
      </c>
    </row>
    <row r="41" spans="1:5">
      <c r="A41" s="55">
        <v>42319</v>
      </c>
      <c r="B41" t="s">
        <v>117</v>
      </c>
      <c r="C41" s="59">
        <f t="shared" ca="1" si="0"/>
        <v>14</v>
      </c>
      <c r="D41" s="34">
        <v>3.125E-2</v>
      </c>
    </row>
    <row r="42" spans="1:5">
      <c r="A42" s="55">
        <v>42320</v>
      </c>
      <c r="B42" t="s">
        <v>117</v>
      </c>
      <c r="C42" s="59">
        <f t="shared" ca="1" si="0"/>
        <v>13</v>
      </c>
      <c r="D42" s="34">
        <v>4.1666666666666664E-2</v>
      </c>
    </row>
    <row r="43" spans="1:5">
      <c r="A43" s="55">
        <v>42320</v>
      </c>
      <c r="B43" t="s">
        <v>86</v>
      </c>
      <c r="C43" s="59">
        <f t="shared" ca="1" si="0"/>
        <v>13</v>
      </c>
      <c r="D43" s="34">
        <v>2.7777777777777776E-2</v>
      </c>
    </row>
    <row r="44" spans="1:5">
      <c r="A44" s="55">
        <v>42321</v>
      </c>
      <c r="B44" t="s">
        <v>117</v>
      </c>
      <c r="C44" s="59">
        <f t="shared" ca="1" si="0"/>
        <v>12</v>
      </c>
      <c r="D44" s="34">
        <v>4.8611111111111112E-2</v>
      </c>
    </row>
    <row r="45" spans="1:5">
      <c r="A45" s="55">
        <v>42321</v>
      </c>
      <c r="B45" t="s">
        <v>86</v>
      </c>
      <c r="C45" s="59">
        <f t="shared" ca="1" si="0"/>
        <v>12</v>
      </c>
      <c r="D45" s="34">
        <v>2.0833333333333332E-2</v>
      </c>
    </row>
    <row r="46" spans="1:5">
      <c r="A46" s="55">
        <v>42323</v>
      </c>
      <c r="B46" t="s">
        <v>152</v>
      </c>
      <c r="C46" s="59">
        <f t="shared" ca="1" si="0"/>
        <v>10</v>
      </c>
      <c r="D46" s="34">
        <v>8.3333333333333329E-2</v>
      </c>
    </row>
    <row r="47" spans="1:5">
      <c r="A47" s="55">
        <v>42324</v>
      </c>
      <c r="B47" t="s">
        <v>86</v>
      </c>
      <c r="C47" s="59">
        <f t="shared" ca="1" si="0"/>
        <v>9</v>
      </c>
      <c r="D47" s="34">
        <v>2.0833333333333332E-2</v>
      </c>
    </row>
    <row r="48" spans="1:5">
      <c r="A48" s="55">
        <v>42324</v>
      </c>
      <c r="B48" t="s">
        <v>130</v>
      </c>
      <c r="C48" s="59">
        <f t="shared" ca="1" si="0"/>
        <v>9</v>
      </c>
      <c r="D48" s="34">
        <v>4.1666666666666664E-2</v>
      </c>
    </row>
    <row r="49" spans="1:4">
      <c r="A49" s="55">
        <v>42324</v>
      </c>
      <c r="B49" t="s">
        <v>117</v>
      </c>
      <c r="C49" s="59">
        <f t="shared" ca="1" si="0"/>
        <v>9</v>
      </c>
      <c r="D49" s="34">
        <v>2.0833333333333332E-2</v>
      </c>
    </row>
    <row r="50" spans="1:4">
      <c r="A50" s="55">
        <v>42324</v>
      </c>
      <c r="B50" t="s">
        <v>152</v>
      </c>
      <c r="C50" s="59">
        <f t="shared" ca="1" si="0"/>
        <v>9</v>
      </c>
      <c r="D50" s="34">
        <v>4.1666666666666664E-2</v>
      </c>
    </row>
    <row r="51" spans="1:4">
      <c r="A51" s="55">
        <v>42324</v>
      </c>
      <c r="B51" t="s">
        <v>152</v>
      </c>
      <c r="C51" s="59">
        <f t="shared" ref="C51:C70" ca="1" si="1">TODAY()-A51</f>
        <v>9</v>
      </c>
      <c r="D51" s="34">
        <v>2.0833333333333332E-2</v>
      </c>
    </row>
    <row r="52" spans="1:4">
      <c r="A52" s="55">
        <v>42325</v>
      </c>
      <c r="B52" t="s">
        <v>117</v>
      </c>
      <c r="C52" s="59">
        <f t="shared" ca="1" si="1"/>
        <v>8</v>
      </c>
      <c r="D52" s="34">
        <v>3.125E-2</v>
      </c>
    </row>
    <row r="53" spans="1:4">
      <c r="A53" s="55">
        <v>42325</v>
      </c>
      <c r="B53" t="s">
        <v>86</v>
      </c>
      <c r="C53" s="59">
        <f t="shared" ca="1" si="1"/>
        <v>8</v>
      </c>
      <c r="D53" s="34">
        <v>2.0833333333333332E-2</v>
      </c>
    </row>
    <row r="54" spans="1:4">
      <c r="A54" s="55">
        <v>42325</v>
      </c>
      <c r="B54" t="s">
        <v>130</v>
      </c>
      <c r="C54" s="59">
        <f t="shared" ca="1" si="1"/>
        <v>8</v>
      </c>
      <c r="D54" s="34">
        <v>3.125E-2</v>
      </c>
    </row>
    <row r="55" spans="1:4">
      <c r="A55" s="55">
        <v>42325</v>
      </c>
      <c r="B55" t="s">
        <v>157</v>
      </c>
      <c r="C55" s="59">
        <f t="shared" ca="1" si="1"/>
        <v>8</v>
      </c>
      <c r="D55" s="34">
        <v>4.1666666666666664E-2</v>
      </c>
    </row>
    <row r="56" spans="1:4">
      <c r="A56" s="55">
        <v>42326</v>
      </c>
      <c r="B56" t="s">
        <v>117</v>
      </c>
      <c r="C56" s="59">
        <f t="shared" ca="1" si="1"/>
        <v>7</v>
      </c>
      <c r="D56" s="34">
        <v>3.125E-2</v>
      </c>
    </row>
    <row r="57" spans="1:4">
      <c r="A57" s="55">
        <v>42326</v>
      </c>
      <c r="B57" t="s">
        <v>86</v>
      </c>
      <c r="C57" s="59">
        <f t="shared" ca="1" si="1"/>
        <v>7</v>
      </c>
      <c r="D57" s="34">
        <v>2.0833333333333332E-2</v>
      </c>
    </row>
    <row r="58" spans="1:4">
      <c r="A58" s="55">
        <v>42326</v>
      </c>
      <c r="B58" t="s">
        <v>152</v>
      </c>
      <c r="C58" s="59">
        <f t="shared" ca="1" si="1"/>
        <v>7</v>
      </c>
      <c r="D58" s="34">
        <v>2.0833333333333332E-2</v>
      </c>
    </row>
    <row r="59" spans="1:4">
      <c r="A59" s="55">
        <v>42327</v>
      </c>
      <c r="B59" t="s">
        <v>152</v>
      </c>
      <c r="C59" s="59">
        <f t="shared" ca="1" si="1"/>
        <v>6</v>
      </c>
      <c r="D59" s="34">
        <v>5.2083333333333336E-2</v>
      </c>
    </row>
    <row r="60" spans="1:4">
      <c r="A60" s="55">
        <v>42327</v>
      </c>
      <c r="B60" t="s">
        <v>117</v>
      </c>
      <c r="C60" s="59">
        <f t="shared" ca="1" si="1"/>
        <v>6</v>
      </c>
      <c r="D60" s="34">
        <v>2.0833333333333332E-2</v>
      </c>
    </row>
    <row r="61" spans="1:4">
      <c r="A61" s="55">
        <v>42327</v>
      </c>
      <c r="B61" t="s">
        <v>109</v>
      </c>
      <c r="C61" s="59">
        <f t="shared" ca="1" si="1"/>
        <v>6</v>
      </c>
      <c r="D61" s="34">
        <v>3.125E-2</v>
      </c>
    </row>
    <row r="62" spans="1:4">
      <c r="A62" s="55">
        <v>42327</v>
      </c>
      <c r="B62" t="s">
        <v>86</v>
      </c>
      <c r="C62" s="59">
        <f t="shared" ca="1" si="1"/>
        <v>6</v>
      </c>
      <c r="D62" s="34">
        <v>3.125E-2</v>
      </c>
    </row>
    <row r="63" spans="1:4">
      <c r="A63" s="55">
        <v>42327</v>
      </c>
      <c r="B63" t="s">
        <v>130</v>
      </c>
      <c r="C63" s="59">
        <f t="shared" ca="1" si="1"/>
        <v>6</v>
      </c>
      <c r="D63" s="34">
        <v>4.1666666666666664E-2</v>
      </c>
    </row>
    <row r="64" spans="1:4">
      <c r="A64" s="55">
        <v>42327</v>
      </c>
      <c r="B64" t="s">
        <v>157</v>
      </c>
      <c r="C64" s="59">
        <f t="shared" ca="1" si="1"/>
        <v>6</v>
      </c>
      <c r="D64" s="34">
        <v>8.3333333333333329E-2</v>
      </c>
    </row>
    <row r="65" spans="1:5">
      <c r="A65" s="55">
        <v>42328</v>
      </c>
      <c r="B65" t="s">
        <v>117</v>
      </c>
      <c r="C65" s="59">
        <f t="shared" ca="1" si="1"/>
        <v>5</v>
      </c>
      <c r="D65" s="34">
        <v>3.4722222222222224E-2</v>
      </c>
    </row>
    <row r="66" spans="1:5">
      <c r="A66" s="55">
        <v>42328</v>
      </c>
      <c r="B66" t="s">
        <v>86</v>
      </c>
      <c r="C66" s="59">
        <f t="shared" ca="1" si="1"/>
        <v>5</v>
      </c>
      <c r="D66" s="34">
        <v>2.7777777777777776E-2</v>
      </c>
    </row>
    <row r="67" spans="1:5">
      <c r="A67" s="55">
        <v>42328</v>
      </c>
      <c r="B67" t="s">
        <v>14</v>
      </c>
      <c r="C67" s="59">
        <f t="shared" ca="1" si="1"/>
        <v>5</v>
      </c>
      <c r="D67" s="34">
        <v>2.7777777777777776E-2</v>
      </c>
    </row>
    <row r="68" spans="1:5">
      <c r="A68" s="55">
        <v>42328</v>
      </c>
      <c r="B68" t="s">
        <v>130</v>
      </c>
      <c r="C68" s="59">
        <f t="shared" ca="1" si="1"/>
        <v>5</v>
      </c>
      <c r="D68" s="34">
        <v>4.1666666666666664E-2</v>
      </c>
    </row>
    <row r="69" spans="1:5">
      <c r="A69" s="55">
        <v>42328</v>
      </c>
      <c r="B69" t="s">
        <v>157</v>
      </c>
      <c r="C69" s="59">
        <f t="shared" ca="1" si="1"/>
        <v>5</v>
      </c>
      <c r="D69" s="34">
        <v>8.3333333333333329E-2</v>
      </c>
    </row>
    <row r="70" spans="1:5">
      <c r="A70" s="55">
        <v>42329</v>
      </c>
      <c r="B70" t="s">
        <v>157</v>
      </c>
      <c r="C70" s="59">
        <f t="shared" ca="1" si="1"/>
        <v>4</v>
      </c>
      <c r="D70" s="34">
        <v>5.9027777777777783E-2</v>
      </c>
      <c r="E70" s="43" t="s">
        <v>160</v>
      </c>
    </row>
    <row r="71" spans="1:5">
      <c r="A71" s="55">
        <v>42330</v>
      </c>
      <c r="B71" t="s">
        <v>152</v>
      </c>
      <c r="C71" s="59">
        <f t="shared" ref="C71:C76" ca="1" si="2">TODAY()-A71</f>
        <v>3</v>
      </c>
      <c r="D71" s="34">
        <v>2.0833333333333332E-2</v>
      </c>
    </row>
    <row r="72" spans="1:5">
      <c r="A72" s="55">
        <v>42330</v>
      </c>
      <c r="B72" t="s">
        <v>86</v>
      </c>
      <c r="C72" s="59">
        <f t="shared" ca="1" si="2"/>
        <v>3</v>
      </c>
      <c r="D72" s="34">
        <v>2.0833333333333332E-2</v>
      </c>
    </row>
    <row r="73" spans="1:5">
      <c r="A73" s="55">
        <v>42331</v>
      </c>
      <c r="B73" t="s">
        <v>86</v>
      </c>
      <c r="C73" s="59">
        <f t="shared" ca="1" si="2"/>
        <v>2</v>
      </c>
      <c r="D73" s="34">
        <v>2.4305555555555556E-2</v>
      </c>
    </row>
    <row r="74" spans="1:5">
      <c r="A74" s="55">
        <v>42331</v>
      </c>
      <c r="B74" t="s">
        <v>130</v>
      </c>
      <c r="C74" s="59">
        <f t="shared" ca="1" si="2"/>
        <v>2</v>
      </c>
      <c r="D74" s="34">
        <v>2.0833333333333332E-2</v>
      </c>
    </row>
    <row r="75" spans="1:5">
      <c r="A75" s="55">
        <v>42331</v>
      </c>
      <c r="B75" t="s">
        <v>152</v>
      </c>
      <c r="C75" s="59">
        <f t="shared" ca="1" si="2"/>
        <v>2</v>
      </c>
      <c r="D75" s="34">
        <v>3.125E-2</v>
      </c>
    </row>
    <row r="76" spans="1:5">
      <c r="A76" s="55">
        <v>42332</v>
      </c>
      <c r="B76" t="s">
        <v>86</v>
      </c>
      <c r="C76" s="59">
        <f t="shared" ca="1" si="2"/>
        <v>1</v>
      </c>
      <c r="D76" s="34">
        <v>3.125E-2</v>
      </c>
    </row>
    <row r="77" spans="1:5">
      <c r="A77" s="55">
        <v>42332</v>
      </c>
      <c r="B77" t="s">
        <v>117</v>
      </c>
      <c r="C77" s="59">
        <f ca="1">TODAY()-A77</f>
        <v>1</v>
      </c>
      <c r="D77" s="34">
        <v>4.1666666666666664E-2</v>
      </c>
    </row>
    <row r="78" spans="1:5">
      <c r="A78" s="55">
        <v>42333</v>
      </c>
      <c r="B78" t="s">
        <v>86</v>
      </c>
      <c r="C78" s="59">
        <f ca="1">TODAY()-A78</f>
        <v>0</v>
      </c>
      <c r="D78" s="34">
        <v>3.125E-2</v>
      </c>
    </row>
    <row r="79" spans="1:5">
      <c r="A79" s="55">
        <v>42333</v>
      </c>
      <c r="B79" t="s">
        <v>117</v>
      </c>
      <c r="C79" s="59">
        <f ca="1">TODAY()-A79</f>
        <v>0</v>
      </c>
      <c r="D79" s="34">
        <v>4.1666666666666664E-2</v>
      </c>
    </row>
    <row r="86" spans="1:29">
      <c r="G86" s="53" t="s">
        <v>119</v>
      </c>
      <c r="H86" s="35" t="s">
        <v>120</v>
      </c>
      <c r="I86" s="35"/>
    </row>
    <row r="87" spans="1:29">
      <c r="G87" s="34">
        <f ca="1">SUMIF(C:C,0,D:D)</f>
        <v>7.2916666666666657E-2</v>
      </c>
      <c r="H87" s="38" t="str">
        <f ca="1">INDEX(学习总体!C:C,RANDBETWEEN(2,COUNTIF(学习总体!D:D,学习总体!D5)+1))</f>
        <v>百词斩-考研核心词汇</v>
      </c>
      <c r="I87" s="35"/>
    </row>
    <row r="89" spans="1:29" s="50" customFormat="1">
      <c r="A89" s="54"/>
      <c r="B89" s="48" t="s">
        <v>155</v>
      </c>
      <c r="C89" s="58" t="s">
        <v>147</v>
      </c>
      <c r="D89" s="56"/>
      <c r="E89" s="56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51" customFormat="1">
      <c r="A90" s="55"/>
      <c r="B90" s="52" t="s">
        <v>145</v>
      </c>
      <c r="C90" s="55">
        <v>42332</v>
      </c>
      <c r="D90" s="55">
        <v>42331</v>
      </c>
      <c r="E90" s="55">
        <v>42330</v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>
      <c r="B91" s="57" t="s">
        <v>130</v>
      </c>
      <c r="C91" s="34"/>
      <c r="D91" s="34">
        <v>2.0833333333333332E-2</v>
      </c>
      <c r="E91" s="34"/>
      <c r="F91"/>
      <c r="G91"/>
      <c r="H91"/>
      <c r="I91"/>
      <c r="J91"/>
    </row>
    <row r="92" spans="1:29">
      <c r="B92" s="57" t="s">
        <v>152</v>
      </c>
      <c r="C92" s="34"/>
      <c r="D92" s="34">
        <v>3.125E-2</v>
      </c>
      <c r="E92" s="34">
        <v>2.0833333333333332E-2</v>
      </c>
      <c r="F92"/>
      <c r="G92"/>
      <c r="H92"/>
      <c r="I92"/>
      <c r="J92"/>
    </row>
    <row r="93" spans="1:29">
      <c r="B93" s="57" t="s">
        <v>117</v>
      </c>
      <c r="C93" s="34">
        <v>4.1666666666666664E-2</v>
      </c>
      <c r="E93" s="34"/>
      <c r="F93"/>
      <c r="G93"/>
      <c r="H93"/>
      <c r="I93"/>
      <c r="J93"/>
    </row>
    <row r="94" spans="1:29">
      <c r="B94" s="57" t="s">
        <v>86</v>
      </c>
      <c r="C94" s="34">
        <v>3.125E-2</v>
      </c>
      <c r="D94" s="34">
        <v>2.4305555555555556E-2</v>
      </c>
      <c r="E94" s="34">
        <v>2.0833333333333332E-2</v>
      </c>
      <c r="F94"/>
      <c r="G94"/>
      <c r="H94"/>
      <c r="I94"/>
      <c r="J94"/>
    </row>
    <row r="95" spans="1:29">
      <c r="B95" s="49" t="s">
        <v>146</v>
      </c>
      <c r="C95" s="34">
        <v>7.2916666666666657E-2</v>
      </c>
      <c r="D95" s="34">
        <v>7.6388888888888881E-2</v>
      </c>
      <c r="E95" s="34">
        <v>4.1666666666666664E-2</v>
      </c>
      <c r="F95"/>
      <c r="G95"/>
      <c r="H95"/>
      <c r="I95"/>
      <c r="J95"/>
    </row>
    <row r="96" spans="1:29">
      <c r="C96" s="42"/>
      <c r="D96"/>
      <c r="E96"/>
      <c r="F96"/>
      <c r="G96"/>
      <c r="H96"/>
      <c r="I96"/>
      <c r="J96"/>
    </row>
    <row r="97" spans="3:10">
      <c r="C97" s="42"/>
      <c r="D97"/>
      <c r="E97"/>
      <c r="F97"/>
      <c r="G97"/>
      <c r="H97"/>
      <c r="I97"/>
      <c r="J97"/>
    </row>
    <row r="98" spans="3:10">
      <c r="C98" s="42"/>
      <c r="D98"/>
      <c r="E98"/>
      <c r="F98"/>
      <c r="G98"/>
      <c r="H98"/>
      <c r="I98"/>
      <c r="J98"/>
    </row>
    <row r="99" spans="3:10">
      <c r="C99" s="42"/>
      <c r="D99"/>
      <c r="E99"/>
      <c r="F99"/>
      <c r="G99"/>
      <c r="H99"/>
      <c r="I99"/>
      <c r="J99"/>
    </row>
    <row r="100" spans="3:10">
      <c r="C100" s="42"/>
      <c r="D100"/>
      <c r="E100"/>
      <c r="F100"/>
      <c r="G100"/>
      <c r="H100"/>
      <c r="I100"/>
      <c r="J100"/>
    </row>
    <row r="101" spans="3:10">
      <c r="C101" s="42"/>
      <c r="D101"/>
      <c r="E101"/>
      <c r="F101"/>
      <c r="G101"/>
      <c r="H101"/>
      <c r="I101"/>
      <c r="J101"/>
    </row>
    <row r="102" spans="3:10">
      <c r="C102" s="42"/>
      <c r="D102"/>
      <c r="E102"/>
      <c r="F102"/>
      <c r="G102"/>
      <c r="H102"/>
      <c r="I102"/>
      <c r="J102"/>
    </row>
    <row r="103" spans="3:10">
      <c r="C103" s="42"/>
      <c r="D103"/>
      <c r="E103"/>
      <c r="F103"/>
      <c r="G103"/>
      <c r="H103"/>
      <c r="I103"/>
      <c r="J103"/>
    </row>
    <row r="104" spans="3:10">
      <c r="C104" s="42"/>
      <c r="D104"/>
      <c r="E104"/>
      <c r="F104"/>
      <c r="G104"/>
      <c r="H104"/>
      <c r="I104"/>
      <c r="J104"/>
    </row>
    <row r="105" spans="3:10">
      <c r="C105" s="42"/>
      <c r="D105"/>
      <c r="E105"/>
      <c r="F105"/>
      <c r="G105"/>
      <c r="H105"/>
      <c r="I105"/>
      <c r="J105"/>
    </row>
    <row r="106" spans="3:10">
      <c r="C106" s="42"/>
      <c r="D106"/>
      <c r="E106"/>
      <c r="F106"/>
      <c r="G106"/>
      <c r="H106"/>
      <c r="I106"/>
      <c r="J106"/>
    </row>
    <row r="107" spans="3:10">
      <c r="C107" s="42"/>
      <c r="I107"/>
      <c r="J107"/>
    </row>
    <row r="108" spans="3:10">
      <c r="C108" s="42"/>
      <c r="I108"/>
      <c r="J108"/>
    </row>
    <row r="109" spans="3:10">
      <c r="C109" s="42"/>
      <c r="I109"/>
      <c r="J109"/>
    </row>
    <row r="110" spans="3:10">
      <c r="C110" s="42"/>
      <c r="I110"/>
      <c r="J110"/>
    </row>
    <row r="111" spans="3:10">
      <c r="C111" s="42"/>
      <c r="I111"/>
      <c r="J111"/>
    </row>
    <row r="112" spans="3:10">
      <c r="C112" s="42"/>
      <c r="I112"/>
      <c r="J112"/>
    </row>
    <row r="113" spans="3:10">
      <c r="C113" s="42"/>
      <c r="I113"/>
      <c r="J113"/>
    </row>
    <row r="114" spans="3:10">
      <c r="C114" s="42"/>
      <c r="I114"/>
      <c r="J114"/>
    </row>
    <row r="115" spans="3:10">
      <c r="C115" s="42"/>
    </row>
    <row r="116" spans="3:10">
      <c r="C116" s="42"/>
    </row>
    <row r="117" spans="3:10">
      <c r="C117" s="42"/>
    </row>
    <row r="118" spans="3:10">
      <c r="C118" s="42"/>
    </row>
    <row r="119" spans="3:10">
      <c r="C119" s="42"/>
    </row>
    <row r="120" spans="3:10">
      <c r="C120" s="42"/>
    </row>
    <row r="121" spans="3:10">
      <c r="C121" s="42"/>
    </row>
    <row r="122" spans="3:10">
      <c r="C122" s="42"/>
    </row>
    <row r="123" spans="3:10">
      <c r="C123" s="42"/>
    </row>
    <row r="124" spans="3:10">
      <c r="C124" s="42"/>
    </row>
    <row r="125" spans="3:10">
      <c r="C125" s="42"/>
    </row>
    <row r="126" spans="3:10">
      <c r="C126" s="42"/>
    </row>
    <row r="127" spans="3:10">
      <c r="C127" s="42"/>
    </row>
    <row r="128" spans="3:10">
      <c r="C128" s="42"/>
    </row>
    <row r="129" spans="3:3">
      <c r="C129" s="42"/>
    </row>
    <row r="130" spans="3:3">
      <c r="C130" s="42"/>
    </row>
    <row r="131" spans="3:3">
      <c r="C131" s="42"/>
    </row>
    <row r="132" spans="3:3">
      <c r="C132" s="42"/>
    </row>
    <row r="133" spans="3:3">
      <c r="C133" s="42"/>
    </row>
    <row r="134" spans="3:3">
      <c r="C134" s="42"/>
    </row>
    <row r="135" spans="3:3">
      <c r="C135" s="42"/>
    </row>
    <row r="136" spans="3:3">
      <c r="C136" s="42"/>
    </row>
    <row r="137" spans="3:3">
      <c r="C137" s="42"/>
    </row>
    <row r="138" spans="3:3">
      <c r="C138" s="42"/>
    </row>
    <row r="139" spans="3:3">
      <c r="C139" s="42"/>
    </row>
    <row r="140" spans="3:3">
      <c r="C140" s="42"/>
    </row>
    <row r="141" spans="3:3">
      <c r="C141" s="42"/>
    </row>
    <row r="142" spans="3:3">
      <c r="C142" s="42"/>
    </row>
    <row r="143" spans="3:3">
      <c r="C143" s="42"/>
    </row>
    <row r="144" spans="3:3">
      <c r="C144" s="42"/>
    </row>
    <row r="145" spans="3:3">
      <c r="C145" s="42"/>
    </row>
    <row r="146" spans="3:3">
      <c r="C146" s="42"/>
    </row>
    <row r="147" spans="3:3">
      <c r="C147" s="42"/>
    </row>
    <row r="148" spans="3:3">
      <c r="C148" s="42"/>
    </row>
    <row r="149" spans="3:3">
      <c r="C149" s="42"/>
    </row>
    <row r="150" spans="3:3">
      <c r="C150" s="42"/>
    </row>
    <row r="151" spans="3:3">
      <c r="C151" s="42"/>
    </row>
    <row r="152" spans="3:3">
      <c r="C152" s="42"/>
    </row>
    <row r="153" spans="3:3">
      <c r="C153" s="42"/>
    </row>
    <row r="154" spans="3:3">
      <c r="C154" s="42"/>
    </row>
    <row r="155" spans="3:3">
      <c r="C155" s="42"/>
    </row>
    <row r="156" spans="3:3">
      <c r="C156" s="42"/>
    </row>
    <row r="157" spans="3:3">
      <c r="C157" s="42"/>
    </row>
    <row r="158" spans="3:3">
      <c r="C158" s="42"/>
    </row>
    <row r="159" spans="3:3">
      <c r="C159" s="42"/>
    </row>
    <row r="160" spans="3:3">
      <c r="C160" s="42"/>
    </row>
    <row r="161" spans="3:3">
      <c r="C161" s="42"/>
    </row>
    <row r="162" spans="3:3">
      <c r="C162" s="42"/>
    </row>
    <row r="163" spans="3:3">
      <c r="C163" s="42"/>
    </row>
    <row r="164" spans="3:3">
      <c r="C164" s="42"/>
    </row>
    <row r="165" spans="3:3">
      <c r="C165" s="42"/>
    </row>
    <row r="166" spans="3:3">
      <c r="C166" s="42"/>
    </row>
    <row r="167" spans="3:3">
      <c r="C167" s="42"/>
    </row>
    <row r="168" spans="3:3">
      <c r="C168" s="42"/>
    </row>
  </sheetData>
  <phoneticPr fontId="4" type="noConversion"/>
  <conditionalFormatting sqref="A89:A95 G89:G90 A88:G88 A96:B168 D107:G168 D86:F87 D77:G85 A1:G79 A77:C87 A169:G1048576">
    <cfRule type="expression" dxfId="5" priority="3">
      <formula>$A1=TODAY()-1</formula>
    </cfRule>
    <cfRule type="expression" dxfId="4" priority="4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B169:B1048576 B1:B88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25" workbookViewId="0">
      <selection activeCell="D34" sqref="D34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10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10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10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10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10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10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10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10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8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8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8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8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8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8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7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6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6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5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5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5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3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3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3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3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3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2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2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2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1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1</v>
      </c>
      <c r="D31" s="42">
        <v>15</v>
      </c>
    </row>
    <row r="32" spans="1:15">
      <c r="A32" s="41">
        <v>42332.504166666666</v>
      </c>
      <c r="B32" t="s">
        <v>139</v>
      </c>
      <c r="C32" s="45">
        <f ca="1">TODAY()-ROUNDDOWN(A32,0)</f>
        <v>1</v>
      </c>
      <c r="D32" s="42">
        <v>18</v>
      </c>
    </row>
    <row r="33" spans="1:10">
      <c r="A33" s="41">
        <v>42333.652083333334</v>
      </c>
      <c r="B33" t="s">
        <v>139</v>
      </c>
      <c r="C33" s="45">
        <f ca="1">TODAY()-ROUNDDOWN(A33,0)</f>
        <v>0</v>
      </c>
      <c r="D33" s="42">
        <v>15</v>
      </c>
    </row>
    <row r="35" spans="1:10">
      <c r="G35"/>
    </row>
    <row r="45" spans="1:10">
      <c r="F45" s="44" t="s">
        <v>148</v>
      </c>
      <c r="G45" s="44" t="s">
        <v>147</v>
      </c>
      <c r="H45" s="42"/>
      <c r="I45" s="42"/>
      <c r="J45" s="42"/>
    </row>
    <row r="46" spans="1:10">
      <c r="F46" s="44" t="s">
        <v>145</v>
      </c>
      <c r="G46" s="42" t="s">
        <v>165</v>
      </c>
      <c r="H46" s="42" t="s">
        <v>164</v>
      </c>
      <c r="I46" s="42" t="s">
        <v>163</v>
      </c>
      <c r="J46" s="42" t="s">
        <v>146</v>
      </c>
    </row>
    <row r="47" spans="1:10">
      <c r="F47" s="38" t="s">
        <v>139</v>
      </c>
      <c r="G47" s="42">
        <v>33</v>
      </c>
      <c r="H47" s="42">
        <v>17</v>
      </c>
      <c r="I47" s="42"/>
      <c r="J47" s="42">
        <v>50</v>
      </c>
    </row>
    <row r="48" spans="1:10">
      <c r="F48" s="38" t="s">
        <v>159</v>
      </c>
      <c r="H48" s="42">
        <v>1</v>
      </c>
      <c r="I48" s="42"/>
      <c r="J48" s="42">
        <v>1</v>
      </c>
    </row>
    <row r="49" spans="6:10">
      <c r="F49" s="38" t="s">
        <v>161</v>
      </c>
      <c r="G49" s="42">
        <v>10</v>
      </c>
      <c r="H49" s="42">
        <v>20</v>
      </c>
      <c r="I49" s="42">
        <v>50</v>
      </c>
      <c r="J49" s="42">
        <v>80</v>
      </c>
    </row>
    <row r="50" spans="6:10">
      <c r="F50" s="38" t="s">
        <v>146</v>
      </c>
      <c r="G50" s="42">
        <v>43</v>
      </c>
      <c r="H50" s="42">
        <v>38</v>
      </c>
      <c r="I50" s="42">
        <v>50</v>
      </c>
      <c r="J50" s="42">
        <v>131</v>
      </c>
    </row>
    <row r="51" spans="6:10">
      <c r="G51"/>
    </row>
    <row r="52" spans="6:10">
      <c r="G52"/>
    </row>
    <row r="53" spans="6:10">
      <c r="G53"/>
    </row>
    <row r="54" spans="6:10">
      <c r="G54"/>
    </row>
    <row r="55" spans="6:10">
      <c r="G55"/>
    </row>
    <row r="56" spans="6:10">
      <c r="G56"/>
    </row>
    <row r="57" spans="6:10">
      <c r="G57"/>
    </row>
    <row r="58" spans="6:10">
      <c r="G58"/>
    </row>
    <row r="59" spans="6:10">
      <c r="G59"/>
    </row>
    <row r="60" spans="6:10">
      <c r="G60"/>
    </row>
    <row r="61" spans="6:10">
      <c r="G61"/>
    </row>
    <row r="62" spans="6:10">
      <c r="G62"/>
    </row>
    <row r="63" spans="6:10">
      <c r="G63"/>
    </row>
    <row r="64" spans="6:10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2015-11-25T07:39:39Z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