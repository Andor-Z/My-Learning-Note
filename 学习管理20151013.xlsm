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2"/>
  </bookViews>
  <sheets>
    <sheet name="项目" sheetId="1" r:id="rId1"/>
    <sheet name="总体" sheetId="2" r:id="rId2"/>
    <sheet name="记录" sheetId="3" r:id="rId3"/>
    <sheet name="运动" sheetId="4" r:id="rId4"/>
    <sheet name="Sheet2" sheetId="5" r:id="rId5"/>
  </sheets>
  <definedNames>
    <definedName name="_xlnm._FilterDatabase" localSheetId="1" hidden="1">总体!$A$1:$E$32</definedName>
    <definedName name="data">OFFSET(记录!$A$1,0,0,COUNTA(记录!$A:$A),COUNTA(记录!$1:$1))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pivotCaches>
    <pivotCache cacheId="5" r:id="rId6"/>
    <pivotCache cacheId="9" r:id="rId7"/>
  </pivotCaches>
</workbook>
</file>

<file path=xl/calcChain.xml><?xml version="1.0" encoding="utf-8"?>
<calcChain xmlns="http://schemas.openxmlformats.org/spreadsheetml/2006/main">
  <c r="C54" i="3" l="1"/>
  <c r="C53" i="3" l="1"/>
  <c r="H59" i="3"/>
  <c r="C52" i="3" l="1"/>
  <c r="C51" i="3" l="1"/>
  <c r="C50" i="3"/>
  <c r="C49" i="3" l="1"/>
  <c r="C3" i="5" l="1"/>
  <c r="C4" i="5"/>
  <c r="C5" i="5"/>
  <c r="C6" i="5"/>
  <c r="C7" i="5"/>
  <c r="C8" i="5"/>
  <c r="C9" i="5"/>
  <c r="C2" i="5"/>
  <c r="C48" i="3"/>
  <c r="C47" i="3" l="1"/>
  <c r="C46" i="3" l="1"/>
  <c r="E3" i="2"/>
  <c r="E11" i="2" l="1"/>
  <c r="C45" i="3" l="1"/>
  <c r="C44" i="3" l="1"/>
  <c r="C43" i="3" l="1"/>
  <c r="C42" i="3" l="1"/>
  <c r="E10" i="2" l="1"/>
  <c r="C41" i="3" l="1"/>
  <c r="G10" i="2" l="1"/>
  <c r="C40" i="3"/>
  <c r="C39" i="3" l="1"/>
  <c r="C38" i="3" l="1"/>
  <c r="C37" i="3" l="1"/>
  <c r="E7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8" i="2" l="1"/>
  <c r="E15" i="2"/>
  <c r="E16" i="2" l="1"/>
  <c r="C22" i="3"/>
  <c r="D22" i="3"/>
  <c r="C21" i="3" l="1"/>
  <c r="C20" i="3" l="1"/>
  <c r="C19" i="3" l="1"/>
  <c r="C18" i="3" l="1"/>
  <c r="C17" i="3" l="1"/>
  <c r="C16" i="3" l="1"/>
  <c r="E17" i="2" l="1"/>
  <c r="C15" i="3"/>
  <c r="E5" i="2"/>
  <c r="D14" i="3" l="1"/>
  <c r="C14" i="3"/>
  <c r="C13" i="3" l="1"/>
  <c r="J3" i="1" l="1"/>
  <c r="K3" i="1"/>
  <c r="I3" i="1"/>
  <c r="G3" i="1"/>
  <c r="H3" i="1"/>
  <c r="E13" i="2" l="1"/>
  <c r="C12" i="3" l="1"/>
  <c r="C11" i="3" l="1"/>
  <c r="C10" i="3"/>
  <c r="C9" i="3" l="1"/>
  <c r="C8" i="3" l="1"/>
  <c r="C7" i="3" l="1"/>
  <c r="C6" i="3"/>
  <c r="C5" i="3"/>
  <c r="D5" i="3"/>
  <c r="E31" i="2" s="1"/>
  <c r="C4" i="3"/>
  <c r="D4" i="3"/>
  <c r="C3" i="3"/>
  <c r="C2" i="3"/>
  <c r="E30" i="2"/>
  <c r="E29" i="2"/>
  <c r="E24" i="2"/>
  <c r="E23" i="2"/>
  <c r="E6" i="2"/>
  <c r="G6" i="2" s="1"/>
  <c r="E21" i="2"/>
  <c r="E28" i="2"/>
  <c r="E14" i="2"/>
  <c r="E20" i="2"/>
  <c r="E27" i="2"/>
  <c r="E26" i="2"/>
  <c r="E25" i="2"/>
  <c r="E22" i="2"/>
  <c r="E19" i="2"/>
  <c r="E2" i="2"/>
  <c r="E18" i="2"/>
  <c r="E4" i="2"/>
  <c r="G4" i="2" s="1"/>
  <c r="E9" i="2"/>
  <c r="E12" i="2"/>
  <c r="E32" i="2"/>
  <c r="G32" i="2" s="1"/>
  <c r="G59" i="3" l="1"/>
</calcChain>
</file>

<file path=xl/comments1.xml><?xml version="1.0" encoding="utf-8"?>
<comments xmlns="http://schemas.openxmlformats.org/spreadsheetml/2006/main">
  <authors>
    <author>ZYF</author>
  </authors>
  <commentList>
    <comment ref="C31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<sst xmlns="http://schemas.openxmlformats.org/spreadsheetml/2006/main" count="252" uniqueCount="157">
  <si>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</si>
  <si>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</si>
  <si>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</si>
  <si>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</si>
  <si>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</si>
  <si>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</si>
  <si>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</si>
  <si>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</si>
  <si>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</si>
  <si>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</si>
  <si>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</si>
  <si>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</si>
  <si>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</si>
  <si>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</si>
  <si>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</si>
  <si>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</si>
  <si>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</si>
  <si>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</si>
  <si>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</si>
  <si>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</si>
  <si>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</si>
  <si>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</si>
  <si>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</si>
  <si>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</si>
  <si>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</si>
  <si>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</si>
  <si>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</si>
  <si>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</si>
  <si>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</si>
  <si>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</si>
  <si>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</si>
  <si>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</si>
  <si>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</si>
  <si>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</si>
  <si>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</si>
  <si>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</si>
  <si>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</si>
  <si>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</si>
  <si>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</si>
  <si>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</si>
  <si>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</si>
  <si>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</si>
  <si>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</si>
  <si>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</si>
  <si>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</si>
  <si>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</si>
  <si>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</si>
  <si>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</si>
  <si>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</si>
  <si>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</si>
  <si>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</si>
  <si>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</si>
  <si>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</si>
  <si>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</si>
  <si>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</si>
  <si>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</si>
  <si>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</si>
  <si>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</si>
  <si>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</si>
  <si>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</si>
  <si>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</si>
  <si>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</si>
  <si>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</si>
  <si>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</si>
  <si>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</si>
  <si>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</si>
  <si>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</si>
  <si>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</si>
  <si>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</si>
  <si>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</si>
  <si>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</si>
  <si>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</si>
  <si>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</si>
  <si>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</si>
  <si>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</si>
  <si>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</si>
  <si>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</si>
  <si>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</si>
  <si>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</si>
  <si>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</si>
  <si>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</si>
  <si>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</si>
  <si>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</si>
  <si>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</si>
  <si>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</si>
  <si>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</si>
  <si>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</si>
  <si>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</si>
  <si>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</si>
  <si>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</si>
  <si>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</si>
  <si>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</si>
  <si>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</si>
  <si>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</si>
  <si>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</si>
  <si>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</si>
  <si>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</si>
  <si>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</si>
  <si>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</si>
  <si>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</si>
  <si>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</si>
  <si>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</si>
  <si>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</si>
  <si>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</si>
  <si>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</si>
  <si>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</si>
  <si>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</si>
  <si>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</si>
  <si>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</si>
  <si>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</si>
  <si>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</si>
  <si>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</si>
  <si>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</si>
  <si>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</si>
  <si>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</si>
  <si>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</si>
  <si>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</si>
  <si>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</si>
  <si>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</si>
  <si>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</si>
  <si>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</si>
  <si>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</si>
  <si>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</si>
  <si>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</si>
  <si>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</si>
  <si>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</si>
  <si>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</si>
  <si>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</si>
  <si>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</si>
  <si>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</si>
  <si>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</si>
  <si>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</si>
  <si>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</si>
  <si>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</si>
  <si>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</si>
  <si>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</si>
  <si>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</si>
  <si>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</si>
  <si>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</si>
  <si>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</si>
  <si>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</si>
  <si>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</si>
  <si>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</si>
  <si>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</si>
  <si>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</si>
  <si>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</si>
  <si>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</si>
  <si>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</si>
  <si>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</si>
  <si>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11月15日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</si>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</sst>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  <numFmt numFmtId="181" formatCode="0_ "/>
  </numFmts>
  <fonts count="12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8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1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pivotButton="1" applyFont="1" applyAlignment="1">
      <alignment horizontal="left" vertical="center"/>
    </xf>
    <xf numFmtId="179" fontId="0" fillId="0" borderId="0" xfId="0" applyNumberFormat="1" applyFont="1" applyAlignment="1">
      <alignment horizontal="center" vertical="center"/>
    </xf>
    <xf numFmtId="177" fontId="0" fillId="0" borderId="0" xfId="0" applyFont="1" applyAlignment="1">
      <alignment horizontal="center" vertical="center"/>
    </xf>
    <xf numFmtId="179" fontId="0" fillId="0" borderId="0" xfId="0" pivotButton="1" applyNumberFormat="1" applyAlignment="1">
      <alignment horizontal="center" vertical="center"/>
    </xf>
    <xf numFmtId="177" fontId="11" fillId="0" borderId="0" xfId="0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48"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numFmt numFmtId="179" formatCode="yyyy/mm/dd;@"/>
    </dxf>
    <dxf>
      <numFmt numFmtId="179" formatCode="yyyy/mm/dd;@"/>
    </dxf>
    <dxf>
      <font>
        <color rgb="FFFF3300"/>
      </font>
    </dxf>
    <dxf>
      <numFmt numFmtId="0" formatCode="General"/>
    </dxf>
    <dxf>
      <font>
        <color rgb="FFFF3300"/>
      </font>
    </dxf>
    <dxf>
      <numFmt numFmtId="179" formatCode="yyyy/mm/dd;@"/>
    </dxf>
    <dxf>
      <numFmt numFmtId="179" formatCode="yyyy/mm/dd;@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7"/>
      <tableStyleElement type="headerRow" dxfId="46"/>
    </tableStyle>
  </tableStyles>
  <colors>
    <mruColors>
      <color rgb="FFFF3300"/>
      <color rgb="FFFF0000"/>
      <color rgb="FF66FF66"/>
      <color rgb="FFFF5050"/>
      <color rgb="FFFF7C80"/>
      <color rgb="FFFF6699"/>
      <color rgb="FFFF6600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25.676335995369" createdVersion="5" refreshedVersion="5" minRefreshableVersion="3" recordCount="53">
  <cacheSource type="worksheet">
    <worksheetSource name="data"/>
  </cacheSource>
  <cacheFields count="7">
    <cacheField name="日期" numFmtId="179">
      <sharedItems containsSemiMixedTypes="0" containsNonDate="0" containsDate="1" containsString="0" minDate="2015-10-23T00:00:00" maxDate="2015-11-18T00:00:00" count="24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</sharedItems>
    </cacheField>
    <cacheField name="科目" numFmtId="177">
      <sharedItems containsBlank="1" count="15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m u="1"/>
      </sharedItems>
    </cacheField>
    <cacheField name="距离今天" numFmtId="0">
      <sharedItems containsSemiMixedTypes="0" containsString="0" containsNumber="1" containsInteger="1" minValue="0" maxValue="25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25.676336226854" createdVersion="5" refreshedVersion="5" minRefreshableVersion="3" recordCount="8">
  <cacheSource type="worksheet">
    <worksheetSource ref="A1:D9" sheet="Sheet2"/>
  </cacheSource>
  <cacheFields count="4">
    <cacheField name="时间" numFmtId="22">
      <sharedItems containsSemiMixedTypes="0" containsNonDate="0" containsDate="1" containsString="0" minDate="2015-11-15T21:39:00" maxDate="2015-11-15T22:12:00" count="8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</sharedItems>
      <fieldGroup base="0">
        <rangePr groupBy="days" startDate="2015-11-15T21:39:00" endDate="2015-11-15T22:12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1-15"/>
        </groupItems>
      </fieldGroup>
    </cacheField>
    <cacheField name="项目" numFmtId="177">
      <sharedItems count="4">
        <s v="下蹲"/>
        <s v="小腿上提"/>
        <s v="仰卧起坐"/>
        <s v="俯卧撑"/>
      </sharedItems>
    </cacheField>
    <cacheField name="距离今天" numFmtId="181">
      <sharedItems containsSemiMixedTypes="0" containsString="0" containsNumber="1" containsInteger="1" minValue="2" maxValue="2"/>
    </cacheField>
    <cacheField name="次数/时长" numFmtId="0">
      <sharedItems containsSemiMixedTypes="0" containsString="0" containsNumber="1" containsInteger="1" minValue="10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">
  <r>
    <x v="0"/>
    <x v="0"/>
    <n v="25"/>
    <d v="1899-12-30T01:00:00"/>
    <m/>
    <m/>
    <m/>
  </r>
  <r>
    <x v="0"/>
    <x v="1"/>
    <n v="25"/>
    <d v="1899-12-30T01:30:00"/>
    <m/>
    <m/>
    <m/>
  </r>
  <r>
    <x v="1"/>
    <x v="2"/>
    <n v="24"/>
    <d v="1899-12-30T02:25:00"/>
    <m/>
    <d v="1899-12-30T00:00:00"/>
    <d v="1899-12-30T02:25:00"/>
  </r>
  <r>
    <x v="2"/>
    <x v="3"/>
    <n v="23"/>
    <d v="1899-12-30T00:21:00"/>
    <m/>
    <d v="1899-12-30T12:45:00"/>
    <d v="1899-12-30T13:06:00"/>
  </r>
  <r>
    <x v="3"/>
    <x v="0"/>
    <n v="22"/>
    <d v="1899-12-30T01:00:00"/>
    <m/>
    <m/>
    <m/>
  </r>
  <r>
    <x v="3"/>
    <x v="1"/>
    <n v="22"/>
    <d v="1899-12-30T01:00:00"/>
    <m/>
    <m/>
    <m/>
  </r>
  <r>
    <x v="4"/>
    <x v="0"/>
    <n v="21"/>
    <d v="1899-12-30T01:30:00"/>
    <m/>
    <m/>
    <m/>
  </r>
  <r>
    <x v="4"/>
    <x v="4"/>
    <n v="21"/>
    <d v="1899-12-30T00:30:00"/>
    <m/>
    <m/>
    <m/>
  </r>
  <r>
    <x v="5"/>
    <x v="0"/>
    <n v="20"/>
    <d v="1899-12-30T00:45:00"/>
    <m/>
    <m/>
    <m/>
  </r>
  <r>
    <x v="5"/>
    <x v="5"/>
    <n v="20"/>
    <d v="1899-12-30T01:05:00"/>
    <m/>
    <m/>
    <m/>
  </r>
  <r>
    <x v="6"/>
    <x v="0"/>
    <n v="19"/>
    <d v="1899-12-30T01:00:00"/>
    <m/>
    <m/>
    <m/>
  </r>
  <r>
    <x v="7"/>
    <x v="0"/>
    <n v="18"/>
    <d v="1899-12-30T01:00:00"/>
    <m/>
    <m/>
    <m/>
  </r>
  <r>
    <x v="8"/>
    <x v="6"/>
    <n v="17"/>
    <d v="1899-12-30T00:53:00"/>
    <m/>
    <d v="1899-12-30T14:37:00"/>
    <d v="1899-12-30T15:30:00"/>
  </r>
  <r>
    <x v="9"/>
    <x v="7"/>
    <n v="15"/>
    <d v="1899-12-30T00:45:00"/>
    <m/>
    <m/>
    <m/>
  </r>
  <r>
    <x v="10"/>
    <x v="0"/>
    <n v="14"/>
    <d v="1899-12-30T01:00:00"/>
    <m/>
    <m/>
    <m/>
  </r>
  <r>
    <x v="10"/>
    <x v="7"/>
    <n v="14"/>
    <d v="1899-12-30T00:30:00"/>
    <m/>
    <m/>
    <m/>
  </r>
  <r>
    <x v="11"/>
    <x v="0"/>
    <n v="13"/>
    <d v="1899-12-30T01:00:00"/>
    <m/>
    <m/>
    <m/>
  </r>
  <r>
    <x v="11"/>
    <x v="7"/>
    <n v="13"/>
    <d v="1899-12-30T00:30:00"/>
    <m/>
    <m/>
    <m/>
  </r>
  <r>
    <x v="11"/>
    <x v="1"/>
    <n v="13"/>
    <d v="1899-12-30T01:00:00"/>
    <m/>
    <m/>
    <m/>
  </r>
  <r>
    <x v="11"/>
    <x v="5"/>
    <n v="13"/>
    <d v="1899-12-30T01:30:00"/>
    <m/>
    <m/>
    <m/>
  </r>
  <r>
    <x v="11"/>
    <x v="8"/>
    <n v="13"/>
    <d v="1899-12-30T01:04:00"/>
    <m/>
    <d v="1899-12-30T19:41:00"/>
    <d v="1899-12-30T20:45:00"/>
  </r>
  <r>
    <x v="12"/>
    <x v="0"/>
    <n v="12"/>
    <d v="1899-12-30T01:10:00"/>
    <m/>
    <m/>
    <m/>
  </r>
  <r>
    <x v="12"/>
    <x v="9"/>
    <n v="12"/>
    <d v="1899-12-30T00:30:00"/>
    <m/>
    <m/>
    <m/>
  </r>
  <r>
    <x v="12"/>
    <x v="10"/>
    <n v="12"/>
    <d v="1899-12-30T01:00:00"/>
    <m/>
    <m/>
    <m/>
  </r>
  <r>
    <x v="13"/>
    <x v="0"/>
    <n v="11"/>
    <d v="1899-12-30T01:00:00"/>
    <m/>
    <m/>
    <m/>
  </r>
  <r>
    <x v="13"/>
    <x v="7"/>
    <n v="11"/>
    <d v="1899-12-30T00:45:00"/>
    <m/>
    <m/>
    <m/>
  </r>
  <r>
    <x v="13"/>
    <x v="10"/>
    <n v="11"/>
    <d v="1899-12-30T01:00:00"/>
    <m/>
    <m/>
    <m/>
  </r>
  <r>
    <x v="14"/>
    <x v="9"/>
    <n v="10"/>
    <d v="1899-12-30T00:30:00"/>
    <m/>
    <m/>
    <m/>
  </r>
  <r>
    <x v="14"/>
    <x v="10"/>
    <n v="10"/>
    <d v="1899-12-30T02:30:00"/>
    <m/>
    <m/>
    <m/>
  </r>
  <r>
    <x v="15"/>
    <x v="1"/>
    <n v="9"/>
    <d v="1899-12-30T00:45:00"/>
    <m/>
    <m/>
    <m/>
  </r>
  <r>
    <x v="15"/>
    <x v="5"/>
    <n v="9"/>
    <d v="1899-12-30T00:30:00"/>
    <m/>
    <m/>
    <m/>
  </r>
  <r>
    <x v="15"/>
    <x v="9"/>
    <n v="9"/>
    <d v="1899-12-30T00:45:00"/>
    <s v="初步了解mathematica"/>
    <m/>
    <m/>
  </r>
  <r>
    <x v="16"/>
    <x v="10"/>
    <n v="8"/>
    <d v="1899-12-30T01:00:00"/>
    <m/>
    <m/>
    <m/>
  </r>
  <r>
    <x v="16"/>
    <x v="0"/>
    <n v="8"/>
    <d v="1899-12-30T01:00:00"/>
    <m/>
    <m/>
    <m/>
  </r>
  <r>
    <x v="16"/>
    <x v="7"/>
    <n v="8"/>
    <d v="1899-12-30T00:30:00"/>
    <m/>
    <m/>
    <m/>
  </r>
  <r>
    <x v="16"/>
    <x v="11"/>
    <n v="8"/>
    <d v="1899-12-30T01:15:00"/>
    <m/>
    <m/>
    <m/>
  </r>
  <r>
    <x v="17"/>
    <x v="0"/>
    <n v="7"/>
    <d v="1899-12-30T00:30:00"/>
    <s v="第24讲是宏表函数，觉得并没有什么用，没怎么看"/>
    <m/>
    <m/>
  </r>
  <r>
    <x v="17"/>
    <x v="7"/>
    <n v="7"/>
    <d v="1899-12-30T00:30:00"/>
    <m/>
    <m/>
    <m/>
  </r>
  <r>
    <x v="18"/>
    <x v="12"/>
    <n v="6"/>
    <d v="1899-12-30T01:00:00"/>
    <m/>
    <m/>
    <m/>
  </r>
  <r>
    <x v="18"/>
    <x v="11"/>
    <n v="6"/>
    <d v="1899-12-30T00:45:00"/>
    <m/>
    <m/>
    <m/>
  </r>
  <r>
    <x v="19"/>
    <x v="11"/>
    <n v="5"/>
    <d v="1899-12-30T01:00:00"/>
    <m/>
    <m/>
    <m/>
  </r>
  <r>
    <x v="19"/>
    <x v="7"/>
    <n v="5"/>
    <d v="1899-12-30T00:40:00"/>
    <m/>
    <m/>
    <m/>
  </r>
  <r>
    <x v="20"/>
    <x v="11"/>
    <n v="4"/>
    <d v="1899-12-30T01:10:00"/>
    <m/>
    <m/>
    <m/>
  </r>
  <r>
    <x v="20"/>
    <x v="7"/>
    <n v="4"/>
    <d v="1899-12-30T00:30:00"/>
    <m/>
    <m/>
    <m/>
  </r>
  <r>
    <x v="21"/>
    <x v="13"/>
    <n v="2"/>
    <d v="1899-12-30T02:00:00"/>
    <m/>
    <m/>
    <m/>
  </r>
  <r>
    <x v="22"/>
    <x v="7"/>
    <n v="1"/>
    <d v="1899-12-30T00:30:00"/>
    <m/>
    <m/>
    <m/>
  </r>
  <r>
    <x v="22"/>
    <x v="12"/>
    <n v="1"/>
    <d v="1899-12-30T01:00:00"/>
    <m/>
    <m/>
    <m/>
  </r>
  <r>
    <x v="22"/>
    <x v="11"/>
    <n v="1"/>
    <d v="1899-12-30T00:30:00"/>
    <m/>
    <m/>
    <m/>
  </r>
  <r>
    <x v="22"/>
    <x v="13"/>
    <n v="1"/>
    <d v="1899-12-30T01:00:00"/>
    <m/>
    <m/>
    <m/>
  </r>
  <r>
    <x v="22"/>
    <x v="13"/>
    <n v="1"/>
    <d v="1899-12-30T00:30:00"/>
    <m/>
    <m/>
    <m/>
  </r>
  <r>
    <x v="23"/>
    <x v="11"/>
    <n v="0"/>
    <d v="1899-12-30T00:45:00"/>
    <m/>
    <m/>
    <m/>
  </r>
  <r>
    <x v="23"/>
    <x v="7"/>
    <n v="0"/>
    <d v="1899-12-30T00:30:00"/>
    <m/>
    <m/>
    <m/>
  </r>
  <r>
    <x v="23"/>
    <x v="12"/>
    <n v="0"/>
    <d v="1899-12-30T00:45:0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">
  <r>
    <x v="0"/>
    <x v="0"/>
    <n v="2"/>
    <n v="30"/>
  </r>
  <r>
    <x v="1"/>
    <x v="1"/>
    <n v="2"/>
    <n v="50"/>
  </r>
  <r>
    <x v="2"/>
    <x v="2"/>
    <n v="2"/>
    <n v="13"/>
  </r>
  <r>
    <x v="3"/>
    <x v="3"/>
    <n v="2"/>
    <n v="10"/>
  </r>
  <r>
    <x v="4"/>
    <x v="0"/>
    <n v="2"/>
    <n v="30"/>
  </r>
  <r>
    <x v="5"/>
    <x v="1"/>
    <n v="2"/>
    <n v="45"/>
  </r>
  <r>
    <x v="6"/>
    <x v="2"/>
    <n v="2"/>
    <n v="20"/>
  </r>
  <r>
    <x v="7"/>
    <x v="3"/>
    <n v="2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updatedVersion="5" minRefreshableVersion="3" colGrandTotals="0" itemPrintTitles="1" createdVersion="5" indent="0" outline="1" outlineData="1" multipleFieldFilters="0">
  <location ref="B61:E67" firstHeaderRow="1" firstDataRow="2" firstDataCol="1"/>
  <pivotFields count="7">
    <pivotField axis="axisCol" numFmtId="179" showAll="0" sortType="descending">
      <items count="25"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6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5">
    <i>
      <x/>
    </i>
    <i>
      <x v="4"/>
    </i>
    <i>
      <x v="6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dataFields count="1">
    <dataField name="求和项:时长" fld="3" baseField="0" baseItem="3" numFmtId="176"/>
  </dataFields>
  <formats count="17">
    <format dxfId="35">
      <pivotArea outline="0" collapsedLevelsAreSubtotals="1" fieldPosition="0"/>
    </format>
    <format dxfId="34">
      <pivotArea type="all" dataOnly="0" outline="0" fieldPosition="0"/>
    </format>
    <format dxfId="33">
      <pivotArea field="0" type="button" dataOnly="0" labelOnly="1" outline="0" axis="axisCol" fieldPosition="0"/>
    </format>
    <format dxfId="32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31">
      <pivotArea dataOnly="0" labelOnly="1" grandCol="1" outline="0" fieldPosition="0"/>
    </format>
    <format dxfId="30">
      <pivotArea field="0" type="button" dataOnly="0" labelOnly="1" outline="0" axis="axisCol" fieldPosition="0"/>
    </format>
    <format dxfId="29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28">
      <pivotArea dataOnly="0" labelOnly="1" grandCol="1" outline="0" fieldPosition="0"/>
    </format>
    <format dxfId="27">
      <pivotArea dataOnly="0" labelOnly="1" fieldPosition="0">
        <references count="1">
          <reference field="0" count="3">
            <x v="0"/>
            <x v="1"/>
            <x v="2"/>
          </reference>
        </references>
      </pivotArea>
    </format>
    <format dxfId="26">
      <pivotArea dataOnly="0" labelOnly="1" grandCol="1" outline="0" fieldPosition="0"/>
    </format>
    <format dxfId="25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24">
      <pivotArea dataOnly="0" labelOnly="1" grandRow="1" outline="0" fieldPosition="0"/>
    </format>
    <format dxfId="23">
      <pivotArea field="1" type="button" dataOnly="0" labelOnly="1" outline="0" axis="axisRow" fieldPosition="0"/>
    </format>
    <format dxfId="22">
      <pivotArea dataOnly="0" labelOnly="1" fieldPosition="0">
        <references count="1">
          <reference field="1" count="1">
            <x v="0"/>
          </reference>
        </references>
      </pivotArea>
    </format>
    <format dxfId="21">
      <pivotArea field="1" type="button" dataOnly="0" labelOnly="1" outline="0" axis="axisRow" fieldPosition="0"/>
    </format>
    <format dxfId="20">
      <pivotArea dataOnly="0" labelOnly="1" fieldPosition="0">
        <references count="1">
          <reference field="0" count="3">
            <x v="0"/>
            <x v="1"/>
            <x v="2"/>
          </reference>
        </references>
      </pivotArea>
    </format>
    <format dxfId="19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</formats>
  <pivotTableStyleInfo name="PivotStyleDark2" showRowHeaders="1" showColHeaders="1" showRowStripes="1" showColStripes="1" showLastColumn="1"/>
  <filters count="1">
    <filter fld="0" type="thisWeek" evalOrder="-1" id="21">
      <autoFilter ref="A1">
        <filterColumn colId="0">
          <dynamicFilter type="thisWeek" val="42323" maxVal="4233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F18:K21" firstHeaderRow="1" firstDataRow="2" firstDataCol="1"/>
  <pivotFields count="4">
    <pivotField axis="axisRow"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5">
        <item x="3"/>
        <item x="0"/>
        <item x="1"/>
        <item x="2"/>
        <item t="default"/>
      </items>
    </pivotField>
    <pivotField numFmtId="181" showAll="0" defaultSubtotal="0"/>
    <pivotField dataField="1" showAll="0"/>
  </pivotFields>
  <rowFields count="1">
    <field x="0"/>
  </rowFields>
  <rowItems count="2">
    <i>
      <x v="320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求和项:次数/时长" fld="3" baseField="0" baseItem="0"/>
  </dataFields>
  <formats count="1">
    <format dxfId="18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topLeftCell="A16" workbookViewId="0">
      <selection activeCell="A46" sqref="A46"/>
    </sheetView>
  </sheetViews>
  <sheetFormatPr defaultColWidth="19.5" defaultRowHeight="16.5"/>
  <cols>
    <col min="1" max="1" width="10.125" style="30" bestFit="1" customWidth="1"/>
    <col min="2" max="2" width="17.5" style="31" bestFit="1" customWidth="1"/>
    <col min="3" max="3" width="20.375" style="32" customWidth="1"/>
    <col min="4" max="4" width="18.625" style="31" bestFit="1" customWidth="1"/>
    <col min="5" max="5" width="16.25" style="31" customWidth="1"/>
    <col min="6" max="7" width="13.125" style="31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39</v>
      </c>
      <c r="H3" s="13">
        <f ca="1">H2-TODAY()</f>
        <v>83</v>
      </c>
      <c r="I3" s="13">
        <f ca="1">I2-TODAY()</f>
        <v>143</v>
      </c>
      <c r="J3" s="13">
        <f ca="1">J2-TODAY()</f>
        <v>221</v>
      </c>
      <c r="K3" s="13">
        <f ca="1">K2-TODAY()</f>
        <v>403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6"/>
      <c r="B20" s="27"/>
      <c r="C20" s="28"/>
      <c r="D20" s="29"/>
      <c r="E20" s="10"/>
      <c r="F20" s="10"/>
      <c r="G20" s="10"/>
    </row>
    <row r="22" spans="1:7">
      <c r="A22" s="30" t="s">
        <v>91</v>
      </c>
      <c r="B22" s="31" t="s">
        <v>111</v>
      </c>
      <c r="C22" s="32" t="s">
        <v>112</v>
      </c>
      <c r="D22" s="31" t="s">
        <v>113</v>
      </c>
    </row>
    <row r="23" spans="1:7">
      <c r="A23" s="30" t="s">
        <v>92</v>
      </c>
      <c r="B23" s="31" t="s">
        <v>93</v>
      </c>
      <c r="C23" s="32" t="s">
        <v>96</v>
      </c>
      <c r="D23" s="31" t="s">
        <v>97</v>
      </c>
      <c r="E23" s="31" t="s">
        <v>98</v>
      </c>
    </row>
    <row r="24" spans="1:7">
      <c r="B24" s="31" t="s">
        <v>94</v>
      </c>
    </row>
    <row r="25" spans="1:7">
      <c r="B25" s="31" t="s">
        <v>95</v>
      </c>
    </row>
    <row r="26" spans="1:7">
      <c r="B26" s="31" t="s">
        <v>99</v>
      </c>
    </row>
    <row r="29" spans="1:7">
      <c r="A29" s="30" t="s">
        <v>123</v>
      </c>
    </row>
    <row r="30" spans="1:7">
      <c r="A30" s="30" t="s">
        <v>124</v>
      </c>
    </row>
    <row r="31" spans="1:7">
      <c r="A31" s="30" t="s">
        <v>125</v>
      </c>
    </row>
    <row r="32" spans="1:7">
      <c r="A32" s="30" t="s">
        <v>126</v>
      </c>
    </row>
    <row r="33" spans="1:1">
      <c r="A33" s="30" t="s">
        <v>127</v>
      </c>
    </row>
    <row r="34" spans="1:1">
      <c r="A34" s="30" t="s">
        <v>128</v>
      </c>
    </row>
  </sheetData>
  <phoneticPr fontId="4" type="noConversion"/>
  <conditionalFormatting sqref="A1:D21 A22 A23:D29 A31:D1048576 A30">
    <cfRule type="expression" dxfId="45" priority="1">
      <formula>$A1="graduate"</formula>
    </cfRule>
    <cfRule type="expression" dxfId="44" priority="2">
      <formula>$A1="CS"</formula>
    </cfRule>
    <cfRule type="expression" dxfId="43" priority="3">
      <formula>$A1="python"</formula>
    </cfRule>
  </conditionalFormatting>
  <conditionalFormatting sqref="B22:D22">
    <cfRule type="expression" dxfId="42" priority="13">
      <formula>$A30="graduate"</formula>
    </cfRule>
    <cfRule type="expression" dxfId="41" priority="14">
      <formula>$A30="CS"</formula>
    </cfRule>
    <cfRule type="expression" dxfId="40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2"/>
  <sheetViews>
    <sheetView workbookViewId="0">
      <selection activeCell="C4" sqref="C4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4"/>
    <col min="7" max="7" width="11.25" style="33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4" t="s">
        <v>100</v>
      </c>
      <c r="G1" s="33" t="s">
        <v>101</v>
      </c>
    </row>
    <row r="2" spans="1:7">
      <c r="A2" s="2" t="s">
        <v>37</v>
      </c>
      <c r="B2" s="3" t="s">
        <v>49</v>
      </c>
      <c r="C2" s="2" t="s">
        <v>110</v>
      </c>
      <c r="D2" s="4">
        <v>1</v>
      </c>
      <c r="E2" s="5">
        <f>SUMIF(记录!B:B,C2,记录!D:D)</f>
        <v>0.22916666666666666</v>
      </c>
    </row>
    <row r="3" spans="1:7">
      <c r="A3" s="2" t="s">
        <v>37</v>
      </c>
      <c r="C3" s="2" t="s">
        <v>154</v>
      </c>
      <c r="D3" s="4">
        <v>1</v>
      </c>
      <c r="E3" s="5">
        <f>SUMIF(记录!B:B,C3,记录!D:D)</f>
        <v>0.20833333333333334</v>
      </c>
    </row>
    <row r="4" spans="1:7">
      <c r="A4" s="2" t="s">
        <v>102</v>
      </c>
      <c r="B4" s="3" t="s">
        <v>78</v>
      </c>
      <c r="C4" s="3" t="s">
        <v>12</v>
      </c>
      <c r="D4" s="4">
        <v>1</v>
      </c>
      <c r="E4" s="5">
        <f>SUMIF(记录!B:B,C4,记录!D:D)</f>
        <v>0.17708333333333331</v>
      </c>
      <c r="F4" s="34">
        <v>1</v>
      </c>
      <c r="G4" s="33">
        <f>E4/F4</f>
        <v>0.17708333333333331</v>
      </c>
    </row>
    <row r="5" spans="1:7">
      <c r="A5" s="2" t="s">
        <v>115</v>
      </c>
      <c r="B5" s="3" t="s">
        <v>88</v>
      </c>
      <c r="C5" s="3" t="s">
        <v>87</v>
      </c>
      <c r="D5" s="4">
        <v>1</v>
      </c>
      <c r="E5" s="5">
        <f>SUMIF(记录!B:B,C5,记录!D:D)</f>
        <v>0.25694444444444448</v>
      </c>
    </row>
    <row r="6" spans="1:7">
      <c r="A6" s="2" t="s">
        <v>102</v>
      </c>
      <c r="B6" s="3" t="s">
        <v>79</v>
      </c>
      <c r="C6" s="3" t="s">
        <v>34</v>
      </c>
      <c r="D6" s="4">
        <v>1</v>
      </c>
      <c r="E6" s="5">
        <f>SUMIF(记录!B:B,C6,记录!D:D)</f>
        <v>0.12847222222222224</v>
      </c>
      <c r="F6" s="34">
        <v>1.25</v>
      </c>
      <c r="G6" s="33">
        <f>E6/F6</f>
        <v>0.10277777777777779</v>
      </c>
    </row>
    <row r="7" spans="1:7">
      <c r="A7" s="2" t="s">
        <v>116</v>
      </c>
      <c r="C7" s="3" t="s">
        <v>118</v>
      </c>
      <c r="D7" s="4">
        <v>1</v>
      </c>
      <c r="E7" s="5">
        <f>SUMIF(记录!B:B,C7,记录!D:D)</f>
        <v>0.24652777777777779</v>
      </c>
    </row>
    <row r="8" spans="1:7">
      <c r="A8" s="2" t="s">
        <v>103</v>
      </c>
      <c r="C8" s="24" t="s">
        <v>108</v>
      </c>
      <c r="D8" s="4">
        <v>1</v>
      </c>
      <c r="E8" s="5">
        <f>SUMIF(记录!B:B,C8,记录!D:D)</f>
        <v>7.2916666666666657E-2</v>
      </c>
    </row>
    <row r="9" spans="1:7">
      <c r="A9" s="2" t="s">
        <v>103</v>
      </c>
      <c r="B9" s="3" t="s">
        <v>71</v>
      </c>
      <c r="C9" s="3" t="s">
        <v>105</v>
      </c>
      <c r="D9" s="4">
        <v>1</v>
      </c>
      <c r="E9" s="5">
        <f>SUMIF(记录!B:B,C9,记录!D:D)</f>
        <v>4.4444444444444509E-2</v>
      </c>
    </row>
    <row r="10" spans="1:7">
      <c r="A10" s="2" t="s">
        <v>129</v>
      </c>
      <c r="C10" s="3" t="s">
        <v>131</v>
      </c>
      <c r="D10" s="8">
        <v>1</v>
      </c>
      <c r="E10" s="5">
        <f>SUMIF(记录!B:B,C10,记录!D:D)</f>
        <v>0.15625</v>
      </c>
      <c r="F10" s="34">
        <v>0.58333333333333337</v>
      </c>
      <c r="G10" s="33">
        <f>E10/F10</f>
        <v>0.26785714285714285</v>
      </c>
    </row>
    <row r="11" spans="1:7">
      <c r="A11" s="2" t="s">
        <v>144</v>
      </c>
      <c r="C11" s="3" t="s">
        <v>143</v>
      </c>
      <c r="D11" s="8">
        <v>1</v>
      </c>
      <c r="E11" s="5">
        <f>SUMIF(记录!B:B,C11,记录!D:D)</f>
        <v>0</v>
      </c>
    </row>
    <row r="12" spans="1:7">
      <c r="A12" s="6" t="s">
        <v>9</v>
      </c>
      <c r="B12" s="3" t="s">
        <v>45</v>
      </c>
      <c r="C12" s="6" t="s">
        <v>10</v>
      </c>
      <c r="D12" s="4">
        <v>2</v>
      </c>
      <c r="E12" s="5">
        <f>SUMIF(记录!B:B,C12,记录!D:D)</f>
        <v>0.100694444444444</v>
      </c>
    </row>
    <row r="13" spans="1:7">
      <c r="A13" s="2" t="s">
        <v>37</v>
      </c>
      <c r="B13" s="3" t="s">
        <v>47</v>
      </c>
      <c r="C13" s="3" t="s">
        <v>38</v>
      </c>
      <c r="D13" s="4">
        <v>2</v>
      </c>
      <c r="E13" s="5">
        <f>SUMIF(记录!B:B,C13,记录!D:D)</f>
        <v>3.6805555555555536E-2</v>
      </c>
    </row>
    <row r="14" spans="1:7">
      <c r="A14" s="2" t="s">
        <v>9</v>
      </c>
      <c r="B14" s="3" t="s">
        <v>46</v>
      </c>
      <c r="C14" s="2" t="s">
        <v>24</v>
      </c>
      <c r="D14" s="4">
        <v>2</v>
      </c>
      <c r="E14" s="5">
        <f>SUMIF(记录!B:B,C14,记录!D:D)</f>
        <v>2.0833333333333332E-2</v>
      </c>
    </row>
    <row r="15" spans="1:7">
      <c r="A15" s="2" t="s">
        <v>103</v>
      </c>
      <c r="C15" s="24" t="s">
        <v>107</v>
      </c>
      <c r="D15" s="4">
        <v>2</v>
      </c>
      <c r="E15" s="5">
        <f>SUMIF(记录!B:B,C15,记录!D:D)</f>
        <v>0</v>
      </c>
    </row>
    <row r="16" spans="1:7">
      <c r="A16" s="2" t="s">
        <v>103</v>
      </c>
      <c r="C16" s="3" t="s">
        <v>106</v>
      </c>
      <c r="D16" s="4">
        <v>2</v>
      </c>
      <c r="E16" s="5">
        <f>SUMIF(记录!B:B,C16,记录!D:D)</f>
        <v>0</v>
      </c>
    </row>
    <row r="17" spans="1:7">
      <c r="A17" s="2" t="s">
        <v>89</v>
      </c>
      <c r="C17" s="24" t="s">
        <v>90</v>
      </c>
      <c r="D17" s="4">
        <v>2</v>
      </c>
      <c r="E17" s="5">
        <f>SUMIF(记录!B:B,C17,记录!D:D)</f>
        <v>0</v>
      </c>
    </row>
    <row r="18" spans="1:7">
      <c r="A18" s="2" t="s">
        <v>37</v>
      </c>
      <c r="B18" s="3" t="s">
        <v>48</v>
      </c>
      <c r="C18" s="2" t="s">
        <v>13</v>
      </c>
      <c r="D18" s="4">
        <v>2</v>
      </c>
      <c r="E18" s="5">
        <f>SUMIF(记录!B:B,C18,记录!D:D)</f>
        <v>0</v>
      </c>
    </row>
    <row r="19" spans="1:7">
      <c r="A19" s="2" t="s">
        <v>37</v>
      </c>
      <c r="B19" s="3" t="s">
        <v>50</v>
      </c>
      <c r="C19" s="2" t="s">
        <v>15</v>
      </c>
      <c r="D19" s="4">
        <v>2</v>
      </c>
      <c r="E19" s="5">
        <f>SUMIF(记录!B:B,C19,记录!D:D)</f>
        <v>0</v>
      </c>
    </row>
    <row r="20" spans="1:7">
      <c r="A20" s="2" t="s">
        <v>37</v>
      </c>
      <c r="B20" s="3" t="s">
        <v>51</v>
      </c>
      <c r="C20" s="2" t="s">
        <v>23</v>
      </c>
      <c r="D20" s="4">
        <v>2</v>
      </c>
      <c r="E20" s="5">
        <f>SUMIF(记录!B:B,C20,记录!D:D)</f>
        <v>0</v>
      </c>
    </row>
    <row r="21" spans="1:7">
      <c r="A21" s="2" t="s">
        <v>11</v>
      </c>
      <c r="B21" s="3" t="s">
        <v>72</v>
      </c>
      <c r="C21" s="3" t="s">
        <v>26</v>
      </c>
      <c r="D21" s="4">
        <v>2</v>
      </c>
      <c r="E21" s="5">
        <f>SUMIF(记录!B:B,C21,记录!D:D)</f>
        <v>0</v>
      </c>
    </row>
    <row r="22" spans="1:7">
      <c r="A22" s="2" t="s">
        <v>16</v>
      </c>
      <c r="B22" s="3" t="s">
        <v>74</v>
      </c>
      <c r="C22" s="2" t="s">
        <v>16</v>
      </c>
      <c r="D22" s="4">
        <v>2</v>
      </c>
      <c r="E22" s="5">
        <f>SUMIF(记录!B:B,C22,记录!D:D)</f>
        <v>0</v>
      </c>
    </row>
    <row r="23" spans="1:7">
      <c r="A23" s="2" t="s">
        <v>16</v>
      </c>
      <c r="B23" s="3" t="s">
        <v>75</v>
      </c>
      <c r="C23" s="3" t="s">
        <v>27</v>
      </c>
      <c r="D23" s="4">
        <v>2</v>
      </c>
      <c r="E23" s="5">
        <f>SUMIF(记录!B:B,C23,记录!D:D)</f>
        <v>0</v>
      </c>
    </row>
    <row r="24" spans="1:7">
      <c r="A24" s="2" t="s">
        <v>16</v>
      </c>
      <c r="B24" s="3" t="s">
        <v>76</v>
      </c>
      <c r="C24" s="3" t="s">
        <v>28</v>
      </c>
      <c r="D24" s="4">
        <v>2</v>
      </c>
      <c r="E24" s="5">
        <f>SUMIF(记录!B:B,C24,记录!D:D)</f>
        <v>0</v>
      </c>
    </row>
    <row r="25" spans="1:7">
      <c r="A25" s="2" t="s">
        <v>17</v>
      </c>
      <c r="B25" s="3" t="s">
        <v>80</v>
      </c>
      <c r="C25" s="3" t="s">
        <v>18</v>
      </c>
      <c r="D25" s="4">
        <v>2</v>
      </c>
      <c r="E25" s="5">
        <f>SUMIF(记录!B:B,C25,记录!D:D)</f>
        <v>0</v>
      </c>
    </row>
    <row r="26" spans="1:7">
      <c r="A26" s="2" t="s">
        <v>17</v>
      </c>
      <c r="B26" s="3" t="s">
        <v>81</v>
      </c>
      <c r="C26" s="3" t="s">
        <v>19</v>
      </c>
      <c r="D26" s="4">
        <v>2</v>
      </c>
      <c r="E26" s="5">
        <f>SUMIF(记录!B:B,C26,记录!D:D)</f>
        <v>0</v>
      </c>
    </row>
    <row r="27" spans="1:7">
      <c r="A27" s="2" t="s">
        <v>9</v>
      </c>
      <c r="B27" s="3" t="s">
        <v>52</v>
      </c>
      <c r="C27" s="2" t="s">
        <v>20</v>
      </c>
      <c r="D27" s="4">
        <v>3</v>
      </c>
      <c r="E27" s="5">
        <f>SUMIF(记录!B:B,C27,记录!D:D)</f>
        <v>0</v>
      </c>
    </row>
    <row r="28" spans="1:7">
      <c r="A28" s="2" t="s">
        <v>9</v>
      </c>
      <c r="B28" s="3" t="s">
        <v>53</v>
      </c>
      <c r="C28" s="2" t="s">
        <v>25</v>
      </c>
      <c r="D28" s="4">
        <v>3</v>
      </c>
      <c r="E28" s="5">
        <f>SUMIF(记录!B:B,C28,记录!D:D)</f>
        <v>0</v>
      </c>
    </row>
    <row r="29" spans="1:7">
      <c r="A29" s="2" t="s">
        <v>16</v>
      </c>
      <c r="B29" s="3" t="s">
        <v>77</v>
      </c>
      <c r="C29" s="3" t="s">
        <v>29</v>
      </c>
      <c r="D29" s="4">
        <v>3</v>
      </c>
      <c r="E29" s="5">
        <f>SUMIF(记录!B:B,C29,记录!D:D)</f>
        <v>0</v>
      </c>
    </row>
    <row r="30" spans="1:7">
      <c r="A30" s="2" t="s">
        <v>17</v>
      </c>
      <c r="B30" s="3" t="s">
        <v>82</v>
      </c>
      <c r="C30" s="3" t="s">
        <v>30</v>
      </c>
      <c r="D30" s="4">
        <v>3</v>
      </c>
      <c r="E30" s="5">
        <f>SUMIF(记录!B:B,C30,记录!D:D)</f>
        <v>0</v>
      </c>
    </row>
    <row r="31" spans="1:7">
      <c r="A31" s="6" t="s">
        <v>21</v>
      </c>
      <c r="B31" s="3" t="s">
        <v>73</v>
      </c>
      <c r="C31" s="7" t="s">
        <v>22</v>
      </c>
      <c r="D31" s="4">
        <v>5</v>
      </c>
      <c r="E31" s="5">
        <f>SUMIF(记录!B:B,C31,记录!D:D)</f>
        <v>1.4583333333332948E-2</v>
      </c>
    </row>
    <row r="32" spans="1:7">
      <c r="A32" s="2" t="s">
        <v>7</v>
      </c>
      <c r="B32" s="3" t="s">
        <v>44</v>
      </c>
      <c r="C32" s="3" t="s">
        <v>121</v>
      </c>
      <c r="D32" s="4">
        <v>100</v>
      </c>
      <c r="E32" s="5">
        <f>SUMIF(记录!B:B,C32,记录!D:D)</f>
        <v>0.4965277777777779</v>
      </c>
      <c r="F32" s="34">
        <v>0.49652777777777773</v>
      </c>
      <c r="G32" s="33">
        <f>E32/F32</f>
        <v>1.0000000000000004</v>
      </c>
    </row>
  </sheetData>
  <autoFilter ref="A1:E32"/>
  <sortState ref="A2:G30">
    <sortCondition ref="D2:D30"/>
    <sortCondition descending="1" ref="E2:E30"/>
  </sortState>
  <phoneticPr fontId="4" type="noConversion"/>
  <conditionalFormatting sqref="A1:F1048576">
    <cfRule type="expression" dxfId="39" priority="6">
      <formula>$D1=1</formula>
    </cfRule>
  </conditionalFormatting>
  <conditionalFormatting sqref="A1:G1048576">
    <cfRule type="expression" dxfId="38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7" r:id="rId1" location="/learn/content"/>
    <hyperlink ref="C15" r:id="rId2"/>
    <hyperlink ref="C8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Z86"/>
  <sheetViews>
    <sheetView tabSelected="1" topLeftCell="A37" workbookViewId="0">
      <selection activeCell="F65" sqref="F65"/>
    </sheetView>
  </sheetViews>
  <sheetFormatPr defaultColWidth="9" defaultRowHeight="13.5"/>
  <cols>
    <col min="1" max="1" width="11.5" style="25" customWidth="1"/>
    <col min="2" max="2" width="22.375" customWidth="1"/>
    <col min="3" max="3" width="13.25" style="36" bestFit="1" customWidth="1"/>
    <col min="4" max="4" width="13.25" style="35" bestFit="1" customWidth="1"/>
    <col min="5" max="5" width="12.5" style="43" customWidth="1"/>
    <col min="6" max="7" width="9" style="1"/>
    <col min="8" max="8" width="19.875" style="52" customWidth="1"/>
    <col min="9" max="9" width="13.25" style="35" bestFit="1" customWidth="1"/>
    <col min="10" max="10" width="14.125" style="36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>
      <c r="A1" s="25" t="s">
        <v>31</v>
      </c>
      <c r="B1" t="s">
        <v>32</v>
      </c>
      <c r="C1" s="36" t="s">
        <v>0</v>
      </c>
      <c r="D1" s="37" t="s">
        <v>3</v>
      </c>
      <c r="E1" s="48" t="s">
        <v>155</v>
      </c>
      <c r="F1" s="1" t="s">
        <v>1</v>
      </c>
      <c r="G1" s="1" t="s">
        <v>2</v>
      </c>
    </row>
    <row r="2" spans="1:7">
      <c r="A2" s="25">
        <v>42300</v>
      </c>
      <c r="B2" t="s">
        <v>8</v>
      </c>
      <c r="C2" s="36">
        <f t="shared" ref="C2:C50" ca="1" si="0">TODAY()-A2</f>
        <v>25</v>
      </c>
      <c r="D2" s="35">
        <v>4.1666666666666699E-2</v>
      </c>
    </row>
    <row r="3" spans="1:7">
      <c r="A3" s="25">
        <v>42300</v>
      </c>
      <c r="B3" t="s">
        <v>12</v>
      </c>
      <c r="C3" s="36">
        <f t="shared" ca="1" si="0"/>
        <v>25</v>
      </c>
      <c r="D3" s="35">
        <v>6.25E-2</v>
      </c>
    </row>
    <row r="4" spans="1:7">
      <c r="A4" s="25">
        <v>42301</v>
      </c>
      <c r="B4" t="s">
        <v>33</v>
      </c>
      <c r="C4" s="36">
        <f t="shared" ca="1" si="0"/>
        <v>24</v>
      </c>
      <c r="D4" s="35">
        <f>G4-F4</f>
        <v>0.100694444444444</v>
      </c>
      <c r="F4" s="1">
        <v>0</v>
      </c>
      <c r="G4" s="1">
        <v>0.100694444444444</v>
      </c>
    </row>
    <row r="5" spans="1:7">
      <c r="A5" s="25">
        <v>42302</v>
      </c>
      <c r="B5" t="s">
        <v>22</v>
      </c>
      <c r="C5" s="36">
        <f t="shared" ca="1" si="0"/>
        <v>23</v>
      </c>
      <c r="D5" s="35">
        <f>G5-F5</f>
        <v>1.4583333333332948E-2</v>
      </c>
      <c r="F5" s="1">
        <v>0.53125</v>
      </c>
      <c r="G5" s="1">
        <v>0.54583333333333295</v>
      </c>
    </row>
    <row r="6" spans="1:7">
      <c r="A6" s="25">
        <v>42303</v>
      </c>
      <c r="B6" t="s">
        <v>8</v>
      </c>
      <c r="C6" s="36">
        <f t="shared" ca="1" si="0"/>
        <v>22</v>
      </c>
      <c r="D6" s="35">
        <v>4.1666666666666699E-2</v>
      </c>
    </row>
    <row r="7" spans="1:7">
      <c r="A7" s="25">
        <v>42303</v>
      </c>
      <c r="B7" t="s">
        <v>12</v>
      </c>
      <c r="C7" s="36">
        <f t="shared" ca="1" si="0"/>
        <v>22</v>
      </c>
      <c r="D7" s="35">
        <v>4.1666666666666664E-2</v>
      </c>
    </row>
    <row r="8" spans="1:7">
      <c r="A8" s="25">
        <v>42304</v>
      </c>
      <c r="B8" t="s">
        <v>8</v>
      </c>
      <c r="C8" s="36">
        <f t="shared" ca="1" si="0"/>
        <v>21</v>
      </c>
      <c r="D8" s="35">
        <v>6.25E-2</v>
      </c>
    </row>
    <row r="9" spans="1:7">
      <c r="A9" s="25">
        <v>42304</v>
      </c>
      <c r="B9" t="s">
        <v>24</v>
      </c>
      <c r="C9" s="36">
        <f t="shared" ca="1" si="0"/>
        <v>21</v>
      </c>
      <c r="D9" s="35">
        <v>2.0833333333333332E-2</v>
      </c>
    </row>
    <row r="10" spans="1:7">
      <c r="A10" s="25">
        <v>42305</v>
      </c>
      <c r="B10" t="s">
        <v>8</v>
      </c>
      <c r="C10" s="36">
        <f t="shared" ca="1" si="0"/>
        <v>20</v>
      </c>
      <c r="D10" s="35">
        <v>3.125E-2</v>
      </c>
    </row>
    <row r="11" spans="1:7">
      <c r="A11" s="25">
        <v>42305</v>
      </c>
      <c r="B11" t="s">
        <v>36</v>
      </c>
      <c r="C11" s="36">
        <f t="shared" ca="1" si="0"/>
        <v>20</v>
      </c>
      <c r="D11" s="35">
        <v>4.5138888888888888E-2</v>
      </c>
    </row>
    <row r="12" spans="1:7">
      <c r="A12" s="25">
        <v>42306</v>
      </c>
      <c r="B12" t="s">
        <v>8</v>
      </c>
      <c r="C12" s="36">
        <f t="shared" ca="1" si="0"/>
        <v>19</v>
      </c>
      <c r="D12" s="35">
        <v>4.1666666666666664E-2</v>
      </c>
    </row>
    <row r="13" spans="1:7">
      <c r="A13" s="25">
        <v>42307</v>
      </c>
      <c r="B13" t="s">
        <v>8</v>
      </c>
      <c r="C13" s="36">
        <f t="shared" ca="1" si="0"/>
        <v>18</v>
      </c>
      <c r="D13" s="35">
        <v>4.1666666666666664E-2</v>
      </c>
    </row>
    <row r="14" spans="1:7">
      <c r="A14" s="25">
        <v>42308</v>
      </c>
      <c r="B14" t="s">
        <v>83</v>
      </c>
      <c r="C14" s="36">
        <f t="shared" ca="1" si="0"/>
        <v>17</v>
      </c>
      <c r="D14" s="35">
        <f>G14-F14</f>
        <v>3.6805555555555536E-2</v>
      </c>
      <c r="F14" s="1">
        <v>0.60902777777777783</v>
      </c>
      <c r="G14" s="1">
        <v>0.64583333333333337</v>
      </c>
    </row>
    <row r="15" spans="1:7">
      <c r="A15" s="25">
        <v>42310</v>
      </c>
      <c r="B15" t="s">
        <v>86</v>
      </c>
      <c r="C15" s="36">
        <f t="shared" ca="1" si="0"/>
        <v>15</v>
      </c>
      <c r="D15" s="35">
        <v>3.125E-2</v>
      </c>
    </row>
    <row r="16" spans="1:7">
      <c r="A16" s="25">
        <v>42311</v>
      </c>
      <c r="B16" t="s">
        <v>8</v>
      </c>
      <c r="C16" s="36">
        <f t="shared" ca="1" si="0"/>
        <v>14</v>
      </c>
      <c r="D16" s="35">
        <v>4.1666666666666664E-2</v>
      </c>
    </row>
    <row r="17" spans="1:7">
      <c r="A17" s="25">
        <v>42311</v>
      </c>
      <c r="B17" t="s">
        <v>86</v>
      </c>
      <c r="C17" s="36">
        <f t="shared" ca="1" si="0"/>
        <v>14</v>
      </c>
      <c r="D17" s="35">
        <v>2.0833333333333332E-2</v>
      </c>
    </row>
    <row r="18" spans="1:7">
      <c r="A18" s="25">
        <v>42312</v>
      </c>
      <c r="B18" t="s">
        <v>8</v>
      </c>
      <c r="C18" s="36">
        <f t="shared" ca="1" si="0"/>
        <v>13</v>
      </c>
      <c r="D18" s="35">
        <v>4.1666666666666664E-2</v>
      </c>
    </row>
    <row r="19" spans="1:7">
      <c r="A19" s="25">
        <v>42312</v>
      </c>
      <c r="B19" t="s">
        <v>86</v>
      </c>
      <c r="C19" s="36">
        <f t="shared" ca="1" si="0"/>
        <v>13</v>
      </c>
      <c r="D19" s="35">
        <v>2.0833333333333332E-2</v>
      </c>
    </row>
    <row r="20" spans="1:7">
      <c r="A20" s="25">
        <v>42312</v>
      </c>
      <c r="B20" t="s">
        <v>12</v>
      </c>
      <c r="C20" s="36">
        <f t="shared" ca="1" si="0"/>
        <v>13</v>
      </c>
      <c r="D20" s="35">
        <v>4.1666666666666664E-2</v>
      </c>
    </row>
    <row r="21" spans="1:7">
      <c r="A21" s="25">
        <v>42312</v>
      </c>
      <c r="B21" t="s">
        <v>36</v>
      </c>
      <c r="C21" s="36">
        <f t="shared" ca="1" si="0"/>
        <v>13</v>
      </c>
      <c r="D21" s="35">
        <v>6.25E-2</v>
      </c>
    </row>
    <row r="22" spans="1:7">
      <c r="A22" s="25">
        <v>42312</v>
      </c>
      <c r="B22" t="s">
        <v>104</v>
      </c>
      <c r="C22" s="36">
        <f t="shared" ca="1" si="0"/>
        <v>13</v>
      </c>
      <c r="D22" s="35">
        <f>G22-F22</f>
        <v>4.4444444444444509E-2</v>
      </c>
      <c r="F22" s="1">
        <v>0.82013888888888886</v>
      </c>
      <c r="G22" s="1">
        <v>0.86458333333333337</v>
      </c>
    </row>
    <row r="23" spans="1:7">
      <c r="A23" s="25">
        <v>42313</v>
      </c>
      <c r="B23" t="s">
        <v>8</v>
      </c>
      <c r="C23" s="36">
        <f t="shared" ca="1" si="0"/>
        <v>12</v>
      </c>
      <c r="D23" s="35">
        <v>4.8611111111111112E-2</v>
      </c>
    </row>
    <row r="24" spans="1:7">
      <c r="A24" s="25">
        <v>42313</v>
      </c>
      <c r="B24" t="s">
        <v>109</v>
      </c>
      <c r="C24" s="36">
        <f t="shared" ca="1" si="0"/>
        <v>12</v>
      </c>
      <c r="D24" s="35">
        <v>2.0833333333333332E-2</v>
      </c>
    </row>
    <row r="25" spans="1:7">
      <c r="A25" s="25">
        <v>42313</v>
      </c>
      <c r="B25" t="s">
        <v>14</v>
      </c>
      <c r="C25" s="36">
        <f t="shared" ca="1" si="0"/>
        <v>12</v>
      </c>
      <c r="D25" s="35">
        <v>4.1666666666666664E-2</v>
      </c>
    </row>
    <row r="26" spans="1:7">
      <c r="A26" s="25">
        <v>42314</v>
      </c>
      <c r="B26" t="s">
        <v>8</v>
      </c>
      <c r="C26" s="36">
        <f t="shared" ca="1" si="0"/>
        <v>11</v>
      </c>
      <c r="D26" s="35">
        <v>4.1666666666666664E-2</v>
      </c>
    </row>
    <row r="27" spans="1:7">
      <c r="A27" s="25">
        <v>42314</v>
      </c>
      <c r="B27" t="s">
        <v>86</v>
      </c>
      <c r="C27" s="36">
        <f t="shared" ca="1" si="0"/>
        <v>11</v>
      </c>
      <c r="D27" s="35">
        <v>3.125E-2</v>
      </c>
    </row>
    <row r="28" spans="1:7">
      <c r="A28" s="25">
        <v>42314</v>
      </c>
      <c r="B28" t="s">
        <v>14</v>
      </c>
      <c r="C28" s="36">
        <f t="shared" ca="1" si="0"/>
        <v>11</v>
      </c>
      <c r="D28" s="35">
        <v>4.1666666666666664E-2</v>
      </c>
    </row>
    <row r="29" spans="1:7">
      <c r="A29" s="25">
        <v>42315</v>
      </c>
      <c r="B29" t="s">
        <v>109</v>
      </c>
      <c r="C29" s="36">
        <f t="shared" ca="1" si="0"/>
        <v>10</v>
      </c>
      <c r="D29" s="35">
        <v>2.0833333333333332E-2</v>
      </c>
    </row>
    <row r="30" spans="1:7">
      <c r="A30" s="25">
        <v>42315</v>
      </c>
      <c r="B30" t="s">
        <v>14</v>
      </c>
      <c r="C30" s="36">
        <f t="shared" ca="1" si="0"/>
        <v>10</v>
      </c>
      <c r="D30" s="35">
        <v>0.10416666666666667</v>
      </c>
      <c r="E30" s="44"/>
    </row>
    <row r="31" spans="1:7">
      <c r="A31" s="25">
        <v>42316</v>
      </c>
      <c r="B31" t="s">
        <v>12</v>
      </c>
      <c r="C31" s="36">
        <f t="shared" ca="1" si="0"/>
        <v>9</v>
      </c>
      <c r="D31" s="35">
        <v>3.125E-2</v>
      </c>
    </row>
    <row r="32" spans="1:7">
      <c r="A32" s="25">
        <v>42316</v>
      </c>
      <c r="B32" t="s">
        <v>36</v>
      </c>
      <c r="C32" s="36">
        <f t="shared" ca="1" si="0"/>
        <v>9</v>
      </c>
      <c r="D32" s="35">
        <v>2.0833333333333332E-2</v>
      </c>
    </row>
    <row r="33" spans="1:5">
      <c r="A33" s="25">
        <v>42316</v>
      </c>
      <c r="B33" t="s">
        <v>109</v>
      </c>
      <c r="C33" s="36">
        <f t="shared" ca="1" si="0"/>
        <v>9</v>
      </c>
      <c r="D33" s="35">
        <v>3.125E-2</v>
      </c>
      <c r="E33" s="44" t="s">
        <v>114</v>
      </c>
    </row>
    <row r="34" spans="1:5">
      <c r="A34" s="25">
        <v>42317</v>
      </c>
      <c r="B34" t="s">
        <v>14</v>
      </c>
      <c r="C34" s="36">
        <f t="shared" ca="1" si="0"/>
        <v>8</v>
      </c>
      <c r="D34" s="38">
        <v>4.1666666666666664E-2</v>
      </c>
    </row>
    <row r="35" spans="1:5">
      <c r="A35" s="25">
        <v>42317</v>
      </c>
      <c r="B35" t="s">
        <v>8</v>
      </c>
      <c r="C35" s="36">
        <f t="shared" ca="1" si="0"/>
        <v>8</v>
      </c>
      <c r="D35" s="35">
        <v>4.1666666666666664E-2</v>
      </c>
    </row>
    <row r="36" spans="1:5">
      <c r="A36" s="25">
        <v>42317</v>
      </c>
      <c r="B36" t="s">
        <v>86</v>
      </c>
      <c r="C36" s="36">
        <f t="shared" ca="1" si="0"/>
        <v>8</v>
      </c>
      <c r="D36" s="35">
        <v>2.0833333333333332E-2</v>
      </c>
    </row>
    <row r="37" spans="1:5">
      <c r="A37" s="25">
        <v>42317</v>
      </c>
      <c r="B37" t="s">
        <v>117</v>
      </c>
      <c r="C37" s="36">
        <f t="shared" ca="1" si="0"/>
        <v>8</v>
      </c>
      <c r="D37" s="35">
        <v>5.2083333333333336E-2</v>
      </c>
    </row>
    <row r="38" spans="1:5" ht="15.75" customHeight="1">
      <c r="A38" s="25">
        <v>42318</v>
      </c>
      <c r="B38" t="s">
        <v>8</v>
      </c>
      <c r="C38" s="36">
        <f t="shared" ca="1" si="0"/>
        <v>7</v>
      </c>
      <c r="D38" s="35">
        <v>2.0833333333333332E-2</v>
      </c>
      <c r="E38" s="47" t="s">
        <v>122</v>
      </c>
    </row>
    <row r="39" spans="1:5">
      <c r="A39" s="25">
        <v>42318</v>
      </c>
      <c r="B39" t="s">
        <v>86</v>
      </c>
      <c r="C39" s="36">
        <f t="shared" ca="1" si="0"/>
        <v>7</v>
      </c>
      <c r="D39" s="35">
        <v>2.0833333333333332E-2</v>
      </c>
    </row>
    <row r="40" spans="1:5">
      <c r="A40" s="25">
        <v>42319</v>
      </c>
      <c r="B40" t="s">
        <v>130</v>
      </c>
      <c r="C40" s="36">
        <f t="shared" ca="1" si="0"/>
        <v>6</v>
      </c>
      <c r="D40" s="35">
        <v>4.1666666666666664E-2</v>
      </c>
    </row>
    <row r="41" spans="1:5">
      <c r="A41" s="25">
        <v>42319</v>
      </c>
      <c r="B41" t="s">
        <v>117</v>
      </c>
      <c r="C41" s="36">
        <f t="shared" ca="1" si="0"/>
        <v>6</v>
      </c>
      <c r="D41" s="35">
        <v>3.125E-2</v>
      </c>
    </row>
    <row r="42" spans="1:5">
      <c r="A42" s="25">
        <v>42320</v>
      </c>
      <c r="B42" t="s">
        <v>117</v>
      </c>
      <c r="C42" s="36">
        <f t="shared" ca="1" si="0"/>
        <v>5</v>
      </c>
      <c r="D42" s="35">
        <v>4.1666666666666664E-2</v>
      </c>
    </row>
    <row r="43" spans="1:5">
      <c r="A43" s="25">
        <v>42320</v>
      </c>
      <c r="B43" t="s">
        <v>86</v>
      </c>
      <c r="C43" s="36">
        <f t="shared" ca="1" si="0"/>
        <v>5</v>
      </c>
      <c r="D43" s="35">
        <v>2.7777777777777776E-2</v>
      </c>
    </row>
    <row r="44" spans="1:5">
      <c r="A44" s="25">
        <v>42321</v>
      </c>
      <c r="B44" t="s">
        <v>117</v>
      </c>
      <c r="C44" s="36">
        <f t="shared" ca="1" si="0"/>
        <v>4</v>
      </c>
      <c r="D44" s="35">
        <v>4.8611111111111112E-2</v>
      </c>
    </row>
    <row r="45" spans="1:5">
      <c r="A45" s="25">
        <v>42321</v>
      </c>
      <c r="B45" t="s">
        <v>86</v>
      </c>
      <c r="C45" s="36">
        <f t="shared" ca="1" si="0"/>
        <v>4</v>
      </c>
      <c r="D45" s="35">
        <v>2.0833333333333332E-2</v>
      </c>
    </row>
    <row r="46" spans="1:5">
      <c r="A46" s="25">
        <v>42323</v>
      </c>
      <c r="B46" t="s">
        <v>153</v>
      </c>
      <c r="C46" s="36">
        <f t="shared" ca="1" si="0"/>
        <v>2</v>
      </c>
      <c r="D46" s="35">
        <v>8.3333333333333329E-2</v>
      </c>
    </row>
    <row r="47" spans="1:5">
      <c r="A47" s="25">
        <v>42324</v>
      </c>
      <c r="B47" t="s">
        <v>86</v>
      </c>
      <c r="C47" s="36">
        <f t="shared" ca="1" si="0"/>
        <v>1</v>
      </c>
      <c r="D47" s="35">
        <v>2.0833333333333332E-2</v>
      </c>
    </row>
    <row r="48" spans="1:5">
      <c r="A48" s="25">
        <v>42324</v>
      </c>
      <c r="B48" t="s">
        <v>130</v>
      </c>
      <c r="C48" s="36">
        <f t="shared" ca="1" si="0"/>
        <v>1</v>
      </c>
      <c r="D48" s="35">
        <v>4.1666666666666664E-2</v>
      </c>
    </row>
    <row r="49" spans="1:26">
      <c r="A49" s="25">
        <v>42324</v>
      </c>
      <c r="B49" t="s">
        <v>117</v>
      </c>
      <c r="C49" s="36">
        <f t="shared" ca="1" si="0"/>
        <v>1</v>
      </c>
      <c r="D49" s="35">
        <v>2.0833333333333332E-2</v>
      </c>
    </row>
    <row r="50" spans="1:26">
      <c r="A50" s="25">
        <v>42324</v>
      </c>
      <c r="B50" t="s">
        <v>153</v>
      </c>
      <c r="C50" s="36">
        <f t="shared" ca="1" si="0"/>
        <v>1</v>
      </c>
      <c r="D50" s="35">
        <v>4.1666666666666664E-2</v>
      </c>
    </row>
    <row r="51" spans="1:26">
      <c r="A51" s="25">
        <v>42324</v>
      </c>
      <c r="B51" t="s">
        <v>153</v>
      </c>
      <c r="C51" s="36">
        <f t="shared" ref="C51:C54" ca="1" si="1">TODAY()-A51</f>
        <v>1</v>
      </c>
      <c r="D51" s="35">
        <v>2.0833333333333332E-2</v>
      </c>
    </row>
    <row r="52" spans="1:26">
      <c r="A52" s="25">
        <v>42325</v>
      </c>
      <c r="B52" t="s">
        <v>117</v>
      </c>
      <c r="C52" s="36">
        <f t="shared" ca="1" si="1"/>
        <v>0</v>
      </c>
      <c r="D52" s="35">
        <v>3.125E-2</v>
      </c>
    </row>
    <row r="53" spans="1:26">
      <c r="A53" s="25">
        <v>42325</v>
      </c>
      <c r="B53" t="s">
        <v>86</v>
      </c>
      <c r="C53" s="36">
        <f t="shared" ca="1" si="1"/>
        <v>0</v>
      </c>
      <c r="D53" s="35">
        <v>2.0833333333333332E-2</v>
      </c>
    </row>
    <row r="54" spans="1:26">
      <c r="A54" s="25">
        <v>42325</v>
      </c>
      <c r="B54" t="s">
        <v>130</v>
      </c>
      <c r="C54" s="36">
        <f t="shared" ca="1" si="1"/>
        <v>0</v>
      </c>
      <c r="D54" s="35">
        <v>3.125E-2</v>
      </c>
    </row>
    <row r="58" spans="1:26">
      <c r="G58" s="35" t="s">
        <v>119</v>
      </c>
      <c r="H58" s="36" t="s">
        <v>120</v>
      </c>
      <c r="I58" s="36"/>
    </row>
    <row r="59" spans="1:26">
      <c r="G59" s="35">
        <f ca="1">SUMIF(C:C,0,D:D)</f>
        <v>8.3333333333333329E-2</v>
      </c>
      <c r="H59" s="39" t="str">
        <f ca="1">INDEX(总体!C:C,RANDBETWEEN(2,COUNTIF(总体!D:D,总体!D4)+1))</f>
        <v>高数基础精讲-张宇</v>
      </c>
      <c r="I59" s="36"/>
    </row>
    <row r="61" spans="1:26" s="55" customFormat="1">
      <c r="A61" s="54"/>
      <c r="B61" s="49" t="s">
        <v>156</v>
      </c>
      <c r="C61" s="53" t="s">
        <v>147</v>
      </c>
      <c r="D61" s="50"/>
      <c r="E61" s="50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s="25" customFormat="1">
      <c r="B62" s="56" t="s">
        <v>145</v>
      </c>
      <c r="C62" s="51">
        <v>42325</v>
      </c>
      <c r="D62" s="51">
        <v>42324</v>
      </c>
      <c r="E62" s="51">
        <v>42323</v>
      </c>
    </row>
    <row r="63" spans="1:26">
      <c r="B63" s="57" t="s">
        <v>130</v>
      </c>
      <c r="C63" s="35">
        <v>3.125E-2</v>
      </c>
      <c r="D63" s="35">
        <v>4.1666666666666664E-2</v>
      </c>
      <c r="E63" s="35"/>
      <c r="F63"/>
      <c r="G63"/>
      <c r="H63"/>
      <c r="I63"/>
      <c r="J63"/>
    </row>
    <row r="64" spans="1:26">
      <c r="B64" s="57" t="s">
        <v>153</v>
      </c>
      <c r="C64" s="35"/>
      <c r="D64" s="35">
        <v>6.25E-2</v>
      </c>
      <c r="E64" s="35">
        <v>8.3333333333333329E-2</v>
      </c>
      <c r="F64"/>
      <c r="G64"/>
      <c r="H64"/>
      <c r="I64"/>
      <c r="J64"/>
    </row>
    <row r="65" spans="2:10">
      <c r="B65" s="57" t="s">
        <v>117</v>
      </c>
      <c r="C65" s="35">
        <v>3.125E-2</v>
      </c>
      <c r="D65" s="35">
        <v>2.0833333333333332E-2</v>
      </c>
      <c r="E65" s="35"/>
      <c r="F65"/>
      <c r="G65"/>
      <c r="H65"/>
      <c r="I65"/>
      <c r="J65"/>
    </row>
    <row r="66" spans="2:10">
      <c r="B66" s="57" t="s">
        <v>86</v>
      </c>
      <c r="C66" s="35">
        <v>2.0833333333333332E-2</v>
      </c>
      <c r="D66" s="35">
        <v>2.0833333333333332E-2</v>
      </c>
      <c r="E66" s="35"/>
      <c r="F66"/>
      <c r="G66"/>
      <c r="H66"/>
      <c r="I66"/>
      <c r="J66"/>
    </row>
    <row r="67" spans="2:10">
      <c r="B67" s="52" t="s">
        <v>146</v>
      </c>
      <c r="C67" s="35">
        <v>8.3333333333333329E-2</v>
      </c>
      <c r="D67" s="35">
        <v>0.14583333333333331</v>
      </c>
      <c r="E67" s="35">
        <v>8.3333333333333329E-2</v>
      </c>
      <c r="F67"/>
      <c r="G67"/>
      <c r="H67"/>
      <c r="I67"/>
      <c r="J67"/>
    </row>
    <row r="68" spans="2:10">
      <c r="C68"/>
      <c r="D68"/>
      <c r="E68"/>
      <c r="F68"/>
      <c r="G68"/>
      <c r="H68"/>
      <c r="I68"/>
      <c r="J68"/>
    </row>
    <row r="69" spans="2:10">
      <c r="C69"/>
      <c r="D69"/>
      <c r="E69"/>
      <c r="F69"/>
      <c r="G69"/>
      <c r="H69"/>
      <c r="I69"/>
      <c r="J69"/>
    </row>
    <row r="70" spans="2:10">
      <c r="C70"/>
      <c r="D70"/>
      <c r="E70"/>
      <c r="F70"/>
      <c r="G70"/>
      <c r="H70"/>
      <c r="I70"/>
      <c r="J70"/>
    </row>
    <row r="71" spans="2:10">
      <c r="C71"/>
      <c r="D71"/>
      <c r="E71"/>
      <c r="F71"/>
      <c r="G71"/>
      <c r="H71"/>
      <c r="I71"/>
      <c r="J71"/>
    </row>
    <row r="72" spans="2:10">
      <c r="C72"/>
      <c r="D72"/>
      <c r="E72"/>
      <c r="F72"/>
      <c r="G72"/>
      <c r="H72"/>
      <c r="I72"/>
      <c r="J72"/>
    </row>
    <row r="73" spans="2:10">
      <c r="C73"/>
      <c r="D73"/>
      <c r="E73"/>
      <c r="F73"/>
      <c r="G73"/>
      <c r="H73"/>
      <c r="I73"/>
      <c r="J73"/>
    </row>
    <row r="74" spans="2:10">
      <c r="C74"/>
      <c r="D74"/>
      <c r="E74"/>
      <c r="F74"/>
      <c r="G74"/>
      <c r="H74"/>
      <c r="I74"/>
      <c r="J74"/>
    </row>
    <row r="75" spans="2:10">
      <c r="C75"/>
      <c r="D75"/>
      <c r="E75"/>
      <c r="F75"/>
      <c r="G75"/>
      <c r="H75"/>
      <c r="I75"/>
      <c r="J75"/>
    </row>
    <row r="76" spans="2:10">
      <c r="C76"/>
      <c r="D76"/>
      <c r="E76"/>
      <c r="F76"/>
      <c r="G76"/>
      <c r="H76"/>
      <c r="I76"/>
      <c r="J76"/>
    </row>
    <row r="77" spans="2:10">
      <c r="C77"/>
      <c r="D77"/>
      <c r="E77"/>
      <c r="F77"/>
      <c r="G77"/>
      <c r="H77"/>
      <c r="I77"/>
      <c r="J77"/>
    </row>
    <row r="78" spans="2:10">
      <c r="I78"/>
      <c r="J78"/>
    </row>
    <row r="79" spans="2:10">
      <c r="I79"/>
      <c r="J79"/>
    </row>
    <row r="80" spans="2:10">
      <c r="I80"/>
      <c r="J80"/>
    </row>
    <row r="81" spans="9:10">
      <c r="I81"/>
      <c r="J81"/>
    </row>
    <row r="82" spans="9:10">
      <c r="I82"/>
      <c r="J82"/>
    </row>
    <row r="83" spans="9:10">
      <c r="I83"/>
      <c r="J83"/>
    </row>
    <row r="84" spans="9:10">
      <c r="I84"/>
      <c r="J84"/>
    </row>
    <row r="85" spans="9:10">
      <c r="I85"/>
      <c r="J85"/>
    </row>
    <row r="86" spans="9:10">
      <c r="I86"/>
      <c r="J86"/>
    </row>
  </sheetData>
  <phoneticPr fontId="4" type="noConversion"/>
  <conditionalFormatting sqref="A1:G57 A61:A67 G61:G62 A60:G60 A58:F59 A78:G1048576 A68:B77">
    <cfRule type="expression" dxfId="37" priority="1">
      <formula>$A1=TODAY()-1</formula>
    </cfRule>
    <cfRule type="expression" dxfId="36" priority="2">
      <formula>$A1=TODAY()</formula>
    </cfRule>
  </conditionalFormatting>
  <pageMargins left="0.75" right="0.75" top="1" bottom="1" header="0.51180555555555596" footer="0.51180555555555596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B1:B60 B78:B1048576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5"/>
  <sheetViews>
    <sheetView workbookViewId="0">
      <selection activeCell="C8" sqref="C8"/>
    </sheetView>
  </sheetViews>
  <sheetFormatPr defaultRowHeight="13.5"/>
  <cols>
    <col min="3" max="3" width="9" style="43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40" t="s">
        <v>134</v>
      </c>
      <c r="B1" s="40" t="s">
        <v>135</v>
      </c>
      <c r="C1" s="43" t="s">
        <v>151</v>
      </c>
    </row>
    <row r="2" spans="1:6">
      <c r="A2" s="40"/>
      <c r="B2" s="40" t="s">
        <v>142</v>
      </c>
      <c r="C2" s="43">
        <v>1</v>
      </c>
    </row>
    <row r="3" spans="1:6">
      <c r="B3" t="s">
        <v>138</v>
      </c>
      <c r="C3" s="43">
        <v>1</v>
      </c>
    </row>
    <row r="4" spans="1:6">
      <c r="B4" t="s">
        <v>139</v>
      </c>
      <c r="C4" s="43">
        <v>1</v>
      </c>
    </row>
    <row r="5" spans="1:6">
      <c r="B5" t="s">
        <v>140</v>
      </c>
      <c r="C5" s="43">
        <v>1</v>
      </c>
    </row>
    <row r="6" spans="1:6">
      <c r="B6" t="s">
        <v>141</v>
      </c>
      <c r="C6" s="43">
        <v>1</v>
      </c>
    </row>
    <row r="7" spans="1:6">
      <c r="B7" t="s">
        <v>150</v>
      </c>
      <c r="C7" s="43">
        <v>1</v>
      </c>
    </row>
    <row r="12" spans="1:6">
      <c r="E12" s="43"/>
      <c r="F12" s="43"/>
    </row>
    <row r="13" spans="1:6">
      <c r="E13" s="39"/>
      <c r="F13" s="43"/>
    </row>
    <row r="14" spans="1:6">
      <c r="E14" s="39"/>
      <c r="F14" s="43"/>
    </row>
    <row r="15" spans="1:6">
      <c r="E15" s="39"/>
      <c r="F15" s="43"/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35"/>
  <sheetViews>
    <sheetView workbookViewId="0">
      <selection activeCell="I23" sqref="I23"/>
    </sheetView>
  </sheetViews>
  <sheetFormatPr defaultRowHeight="13.5"/>
  <cols>
    <col min="1" max="1" width="18.375" style="42" bestFit="1" customWidth="1"/>
    <col min="3" max="3" width="9" style="46"/>
    <col min="4" max="4" width="9" style="43"/>
    <col min="6" max="6" width="18.875" bestFit="1" customWidth="1"/>
    <col min="7" max="7" width="9.75" style="43" bestFit="1" customWidth="1"/>
    <col min="8" max="8" width="5.75" customWidth="1"/>
    <col min="9" max="9" width="9.75" bestFit="1" customWidth="1"/>
    <col min="10" max="10" width="9.75" customWidth="1"/>
    <col min="11" max="12" width="5.75" customWidth="1"/>
    <col min="13" max="14" width="9.75" bestFit="1" customWidth="1"/>
    <col min="15" max="15" width="5.75" customWidth="1"/>
  </cols>
  <sheetData>
    <row r="1" spans="1:15">
      <c r="A1" s="41" t="s">
        <v>136</v>
      </c>
      <c r="B1" s="40" t="s">
        <v>135</v>
      </c>
      <c r="C1" s="46" t="s">
        <v>152</v>
      </c>
      <c r="D1" s="44" t="s">
        <v>137</v>
      </c>
    </row>
    <row r="2" spans="1:15">
      <c r="A2" s="42">
        <v>42323.902083333334</v>
      </c>
      <c r="B2" t="s">
        <v>140</v>
      </c>
      <c r="C2" s="46">
        <f ca="1">ROUNDUP(TODAY()-A2,0)</f>
        <v>2</v>
      </c>
      <c r="D2" s="43">
        <v>30</v>
      </c>
    </row>
    <row r="3" spans="1:15">
      <c r="A3" s="42">
        <v>42323.90347222222</v>
      </c>
      <c r="B3" t="s">
        <v>141</v>
      </c>
      <c r="C3" s="46">
        <f t="shared" ref="C3:C9" ca="1" si="0">ROUNDUP(TODAY()-A3,0)</f>
        <v>2</v>
      </c>
      <c r="D3" s="43">
        <v>50</v>
      </c>
    </row>
    <row r="4" spans="1:15">
      <c r="A4" s="42">
        <v>42323.904860995368</v>
      </c>
      <c r="B4" t="s">
        <v>138</v>
      </c>
      <c r="C4" s="46">
        <f t="shared" ca="1" si="0"/>
        <v>2</v>
      </c>
      <c r="D4" s="43">
        <v>13</v>
      </c>
    </row>
    <row r="5" spans="1:15">
      <c r="A5" s="42">
        <v>42323.906249826388</v>
      </c>
      <c r="B5" t="s">
        <v>139</v>
      </c>
      <c r="C5" s="46">
        <f t="shared" ca="1" si="0"/>
        <v>2</v>
      </c>
      <c r="D5" s="43">
        <v>10</v>
      </c>
    </row>
    <row r="6" spans="1:15">
      <c r="A6" s="42">
        <v>42323.907638657409</v>
      </c>
      <c r="B6" t="s">
        <v>140</v>
      </c>
      <c r="C6" s="46">
        <f t="shared" ca="1" si="0"/>
        <v>2</v>
      </c>
      <c r="D6" s="43">
        <v>30</v>
      </c>
    </row>
    <row r="7" spans="1:15">
      <c r="A7" s="42">
        <v>42323.909027488429</v>
      </c>
      <c r="B7" t="s">
        <v>141</v>
      </c>
      <c r="C7" s="46">
        <f t="shared" ca="1" si="0"/>
        <v>2</v>
      </c>
      <c r="D7" s="43">
        <v>45</v>
      </c>
    </row>
    <row r="8" spans="1:15">
      <c r="A8" s="42">
        <v>42323.918055555558</v>
      </c>
      <c r="B8" t="s">
        <v>138</v>
      </c>
      <c r="C8" s="46">
        <f t="shared" ca="1" si="0"/>
        <v>2</v>
      </c>
      <c r="D8" s="43">
        <v>20</v>
      </c>
    </row>
    <row r="9" spans="1:15">
      <c r="A9" s="42">
        <v>42323.925000000003</v>
      </c>
      <c r="B9" t="s">
        <v>139</v>
      </c>
      <c r="C9" s="46">
        <f t="shared" ca="1" si="0"/>
        <v>2</v>
      </c>
      <c r="D9" s="43">
        <v>15</v>
      </c>
    </row>
    <row r="15" spans="1:15">
      <c r="J15" s="43"/>
      <c r="K15" s="43"/>
      <c r="L15" s="43"/>
      <c r="M15" s="43"/>
      <c r="N15" s="43"/>
      <c r="O15" s="43"/>
    </row>
    <row r="16" spans="1:15">
      <c r="J16" s="43"/>
      <c r="K16" s="43"/>
      <c r="L16" s="43"/>
      <c r="M16" s="43"/>
      <c r="N16" s="43"/>
      <c r="O16" s="43"/>
    </row>
    <row r="17" spans="6:15">
      <c r="J17" s="39"/>
      <c r="K17" s="43"/>
      <c r="L17" s="43"/>
      <c r="M17" s="43"/>
      <c r="N17" s="43"/>
      <c r="O17" s="43"/>
    </row>
    <row r="18" spans="6:15">
      <c r="F18" s="45" t="s">
        <v>148</v>
      </c>
      <c r="G18" s="45" t="s">
        <v>147</v>
      </c>
      <c r="H18" s="43"/>
      <c r="I18" s="43"/>
      <c r="J18" s="43"/>
      <c r="K18" s="43"/>
      <c r="L18" s="43"/>
      <c r="M18" s="43"/>
      <c r="N18" s="43"/>
      <c r="O18" s="43"/>
    </row>
    <row r="19" spans="6:15">
      <c r="F19" s="45" t="s">
        <v>145</v>
      </c>
      <c r="G19" s="43" t="s">
        <v>139</v>
      </c>
      <c r="H19" s="43" t="s">
        <v>140</v>
      </c>
      <c r="I19" s="43" t="s">
        <v>141</v>
      </c>
      <c r="J19" s="43" t="s">
        <v>138</v>
      </c>
      <c r="K19" s="43" t="s">
        <v>146</v>
      </c>
    </row>
    <row r="20" spans="6:15">
      <c r="F20" s="39" t="s">
        <v>149</v>
      </c>
      <c r="G20" s="43">
        <v>25</v>
      </c>
      <c r="H20" s="43">
        <v>60</v>
      </c>
      <c r="I20" s="43">
        <v>95</v>
      </c>
      <c r="J20" s="43">
        <v>33</v>
      </c>
      <c r="K20" s="43">
        <v>213</v>
      </c>
    </row>
    <row r="21" spans="6:15">
      <c r="F21" s="39" t="s">
        <v>146</v>
      </c>
      <c r="G21" s="43">
        <v>25</v>
      </c>
      <c r="H21" s="43">
        <v>60</v>
      </c>
      <c r="I21" s="43">
        <v>95</v>
      </c>
      <c r="J21" s="43">
        <v>33</v>
      </c>
      <c r="K21" s="43">
        <v>213</v>
      </c>
    </row>
    <row r="22" spans="6:15">
      <c r="G22"/>
    </row>
    <row r="23" spans="6:15">
      <c r="G23"/>
    </row>
    <row r="24" spans="6:15">
      <c r="G24"/>
    </row>
    <row r="25" spans="6:15">
      <c r="G25"/>
    </row>
    <row r="26" spans="6:15">
      <c r="G26"/>
    </row>
    <row r="27" spans="6:15">
      <c r="G27"/>
    </row>
    <row r="28" spans="6:15">
      <c r="G28"/>
    </row>
    <row r="29" spans="6:15">
      <c r="G29"/>
    </row>
    <row r="30" spans="6:15">
      <c r="G30"/>
    </row>
    <row r="31" spans="6:15">
      <c r="G31"/>
    </row>
    <row r="32" spans="6:15">
      <c r="G32"/>
    </row>
    <row r="33" spans="7:7">
      <c r="G33"/>
    </row>
    <row r="34" spans="7:7">
      <c r="G34"/>
    </row>
    <row r="35" spans="7:7">
      <c r="G35"/>
    </row>
  </sheetData>
  <phoneticPr fontId="10" type="noConversion"/>
  <pageMargins left="0.7" right="0.7" top="0.75" bottom="0.75" header="0.3" footer="0.3"/>
  <pageSetup paperSize="9" orientation="portrait" horizontalDpi="0" verticalDpi="0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总体</vt:lpstr>
      <vt:lpstr>记录</vt:lpstr>
      <vt:lpstr>运动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2015-11-17T08:13:59Z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