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16" i="5" l="1"/>
  <c r="C57" i="3" l="1"/>
  <c r="C56" i="3" l="1"/>
  <c r="C55" i="3" l="1"/>
  <c r="E4" i="2"/>
  <c r="C15" i="5" l="1"/>
  <c r="C13" i="5"/>
  <c r="C14" i="5"/>
  <c r="C12" i="5"/>
  <c r="C11" i="5" l="1"/>
  <c r="C10" i="5" l="1"/>
  <c r="C54" i="3" l="1"/>
  <c r="C53" i="3" l="1"/>
  <c r="H70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3" i="2"/>
  <c r="E12" i="2" l="1"/>
  <c r="C45" i="3" l="1"/>
  <c r="C44" i="3" l="1"/>
  <c r="C43" i="3" l="1"/>
  <c r="C42" i="3" l="1"/>
  <c r="E11" i="2" l="1"/>
  <c r="C41" i="3" l="1"/>
  <c r="G11" i="2" l="1"/>
  <c r="C40" i="3"/>
  <c r="C39" i="3" l="1"/>
  <c r="C38" i="3" l="1"/>
  <c r="C37" i="3" l="1"/>
  <c r="E8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9" i="2" l="1"/>
  <c r="E16" i="2"/>
  <c r="E17" i="2" l="1"/>
  <c r="C22" i="3"/>
  <c r="D22" i="3"/>
  <c r="C21" i="3" l="1"/>
  <c r="C20" i="3" l="1"/>
  <c r="C19" i="3" l="1"/>
  <c r="C18" i="3" l="1"/>
  <c r="C17" i="3" l="1"/>
  <c r="C16" i="3" l="1"/>
  <c r="E18" i="2" l="1"/>
  <c r="C15" i="3"/>
  <c r="E6" i="2"/>
  <c r="D14" i="3" l="1"/>
  <c r="C14" i="3"/>
  <c r="C13" i="3" l="1"/>
  <c r="J3" i="1" l="1"/>
  <c r="K3" i="1"/>
  <c r="I3" i="1"/>
  <c r="G3" i="1"/>
  <c r="H3" i="1"/>
  <c r="E14" i="2" l="1"/>
  <c r="C12" i="3" l="1"/>
  <c r="C11" i="3" l="1"/>
  <c r="C10" i="3"/>
  <c r="C9" i="3" l="1"/>
  <c r="C8" i="3" l="1"/>
  <c r="C7" i="3" l="1"/>
  <c r="C6" i="3"/>
  <c r="C5" i="3"/>
  <c r="D5" i="3"/>
  <c r="E32" i="2" s="1"/>
  <c r="C4" i="3"/>
  <c r="D4" i="3"/>
  <c r="C3" i="3"/>
  <c r="C2" i="3"/>
  <c r="E31" i="2"/>
  <c r="E30" i="2"/>
  <c r="E25" i="2"/>
  <c r="E24" i="2"/>
  <c r="E7" i="2"/>
  <c r="G7" i="2" s="1"/>
  <c r="E22" i="2"/>
  <c r="E29" i="2"/>
  <c r="E15" i="2"/>
  <c r="E21" i="2"/>
  <c r="E28" i="2"/>
  <c r="E27" i="2"/>
  <c r="E26" i="2"/>
  <c r="E23" i="2"/>
  <c r="E20" i="2"/>
  <c r="E2" i="2"/>
  <c r="E19" i="2"/>
  <c r="E5" i="2"/>
  <c r="G5" i="2" s="1"/>
  <c r="E10" i="2"/>
  <c r="E13" i="2"/>
  <c r="E33" i="2"/>
  <c r="G33" i="2" s="1"/>
  <c r="G70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<sst xmlns="http://schemas.openxmlformats.org/spreadsheetml/2006/main" count="266" uniqueCount="162">
  <si>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</si>
  <si>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</si>
  <si>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</si>
  <si>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</si>
  <si>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</si>
  <si>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</si>
  <si>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</si>
  <si>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</si>
  <si>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</si>
  <si>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</si>
  <si>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</si>
  <si>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</si>
  <si>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</si>
  <si>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</si>
  <si>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</si>
  <si>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</si>
  <si>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</si>
  <si>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</si>
  <si>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</si>
  <si>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</si>
  <si>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</si>
  <si>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</si>
  <si>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</si>
  <si>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</si>
  <si>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</si>
  <si>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</si>
  <si>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</si>
  <si>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</si>
  <si>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</si>
  <si>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</si>
  <si>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</si>
  <si>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</si>
  <si>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</si>
  <si>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</si>
  <si>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</si>
  <si>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</si>
  <si>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</si>
  <si>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</si>
  <si>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</si>
  <si>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</si>
  <si>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</si>
  <si>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</si>
  <si>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</si>
  <si>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</si>
  <si>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</si>
  <si>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</si>
  <si>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</si>
  <si>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</si>
  <si>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</si>
  <si>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</si>
  <si>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</si>
  <si>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</si>
  <si>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</si>
  <si>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</si>
  <si>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</si>
  <si>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</si>
  <si>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</si>
  <si>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</si>
  <si>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</si>
  <si>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</si>
  <si>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</si>
  <si>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</si>
  <si>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</si>
  <si>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</si>
  <si>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</si>
  <si>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</si>
  <si>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</si>
  <si>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</si>
  <si>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</si>
  <si>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</si>
  <si>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</si>
  <si>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</si>
  <si>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</si>
  <si>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</si>
  <si>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</si>
  <si>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</si>
  <si>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</si>
  <si>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</si>
  <si>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</si>
  <si>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</si>
  <si>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</si>
  <si>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</si>
  <si>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</si>
  <si>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</si>
  <si>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</si>
  <si>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</si>
  <si>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</si>
  <si>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</si>
  <si>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</si>
  <si>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</si>
  <si>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</si>
  <si>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</si>
  <si>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</si>
  <si>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</si>
  <si>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</si>
  <si>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</si>
  <si>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</si>
  <si>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</si>
  <si>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</si>
  <si>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</si>
  <si>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</si>
  <si>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</si>
  <si>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</si>
  <si>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</si>
  <si>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</si>
  <si>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</si>
  <si>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</si>
  <si>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</si>
  <si>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</si>
  <si>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</si>
  <si>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</si>
  <si>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</si>
  <si>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</si>
  <si>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</si>
  <si>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</si>
  <si>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</si>
  <si>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</si>
  <si>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</si>
  <si>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</si>
  <si>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</si>
  <si>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</si>
  <si>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</si>
  <si>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</si>
  <si>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</si>
  <si>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</si>
  <si>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</si>
  <si>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</si>
  <si>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</si>
  <si>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</si>
  <si>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</si>
  <si>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</si>
  <si>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</si>
  <si>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</si>
  <si>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</si>
  <si>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</si>
  <si>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</si>
  <si>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</si>
  <si>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</si>
  <si>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</si>
  <si>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</si>
  <si>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</si>
  <si>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</si>
  <si>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</si>
  <si>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</si>
  <si>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</si>
  <si>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</si>
  <si>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</si>
  <si>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</si>
  <si>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</si>
  <si>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</si>
  <si>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</si>
  <si>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</si>
  <si>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</si>
  <si>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</si>
  <si>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</si>
  <si>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</si>
  <si>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</si>
  <si>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11月17日</t>
  </si>
  <si>
    <t>Python</t>
    <phoneticPr fontId="4" type="noConversion"/>
  </si>
  <si>
    <t>Flask官方教程</t>
  </si>
  <si>
    <t>Flask官方教程</t>
    <phoneticPr fontId="4" type="noConversion"/>
  </si>
  <si>
    <t>眼保健操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</si>
</sst>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  <numFmt numFmtId="181" formatCode="0_ 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1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center" vertical="center"/>
    </xf>
    <xf numFmtId="177" fontId="0" fillId="0" borderId="0" xfId="0" applyAlignment="1">
      <alignment horizontal="left" vertical="center"/>
    </xf>
    <xf numFmtId="179" fontId="0" fillId="0" borderId="0" xfId="0" applyNumberFormat="1" applyFont="1" applyAlignment="1">
      <alignment horizontal="center" vertical="center"/>
    </xf>
    <xf numFmtId="177" fontId="0" fillId="0" borderId="0" xfId="0" applyFont="1" applyAlignment="1">
      <alignment horizontal="center" vertical="center"/>
    </xf>
    <xf numFmtId="177" fontId="0" fillId="0" borderId="0" xfId="0" pivotButton="1" applyFont="1" applyAlignment="1">
      <alignment horizontal="left" vertical="center"/>
    </xf>
    <xf numFmtId="177" fontId="11" fillId="0" borderId="0" xfId="0" applyFont="1" applyAlignment="1">
      <alignment horizontal="left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58" fontId="0" fillId="0" borderId="0" xfId="0" applyNumberForma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50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FF3300"/>
      <color rgb="FFFF0000"/>
      <color rgb="FF66FF66"/>
      <color rgb="FFFF5050"/>
      <color rgb="FFFF7C80"/>
      <color rgb="FFFF6699"/>
      <color rgb="FFFF66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26.709486458334" createdVersion="5" refreshedVersion="5" minRefreshableVersion="3" recordCount="56">
  <cacheSource type="worksheet">
    <worksheetSource name="data"/>
  </cacheSource>
  <cacheFields count="7">
    <cacheField name="日期" numFmtId="179">
      <sharedItems containsSemiMixedTypes="0" containsNonDate="0" containsDate="1" containsString="0" minDate="2015-10-23T00:00:00" maxDate="2015-11-19T00:00:00" count="25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0">
      <sharedItems containsSemiMixedTypes="0" containsString="0" containsNumber="1" containsInteger="1" minValue="0" maxValue="26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26.709486689811" createdVersion="6" refreshedVersion="5" minRefreshableVersion="3" recordCount="14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18T00:00:00" count="10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</sharedItems>
      <fieldGroup base="0">
        <rangePr groupBy="days" startDate="2015-11-15T21:39:00" endDate="2015-11-18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18"/>
        </groupItems>
      </fieldGroup>
    </cacheField>
    <cacheField name="项目" numFmtId="177">
      <sharedItems count="4">
        <s v="下蹲"/>
        <s v="小腿上提"/>
        <s v="仰卧起坐"/>
        <s v="俯卧撑"/>
      </sharedItems>
    </cacheField>
    <cacheField name="距离今天" numFmtId="181">
      <sharedItems containsSemiMixedTypes="0" containsString="0" containsNumber="1" containsInteger="1" minValue="1" maxValue="3"/>
    </cacheField>
    <cacheField name="次数/时长" numFmtId="0">
      <sharedItems containsSemiMixedTypes="0" containsString="0" containsNumber="1" containsInteger="1" minValue="1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">
  <r>
    <x v="0"/>
    <x v="0"/>
    <n v="26"/>
    <d v="1899-12-30T01:00:00"/>
    <m/>
    <m/>
    <m/>
  </r>
  <r>
    <x v="0"/>
    <x v="1"/>
    <n v="26"/>
    <d v="1899-12-30T01:30:00"/>
    <m/>
    <m/>
    <m/>
  </r>
  <r>
    <x v="1"/>
    <x v="2"/>
    <n v="25"/>
    <d v="1899-12-30T02:25:00"/>
    <m/>
    <d v="1899-12-30T00:00:00"/>
    <d v="1899-12-30T02:25:00"/>
  </r>
  <r>
    <x v="2"/>
    <x v="3"/>
    <n v="24"/>
    <d v="1899-12-30T00:21:00"/>
    <m/>
    <d v="1899-12-30T12:45:00"/>
    <d v="1899-12-30T13:06:00"/>
  </r>
  <r>
    <x v="3"/>
    <x v="0"/>
    <n v="23"/>
    <d v="1899-12-30T01:00:00"/>
    <m/>
    <m/>
    <m/>
  </r>
  <r>
    <x v="3"/>
    <x v="1"/>
    <n v="23"/>
    <d v="1899-12-30T01:00:00"/>
    <m/>
    <m/>
    <m/>
  </r>
  <r>
    <x v="4"/>
    <x v="0"/>
    <n v="22"/>
    <d v="1899-12-30T01:30:00"/>
    <m/>
    <m/>
    <m/>
  </r>
  <r>
    <x v="4"/>
    <x v="4"/>
    <n v="22"/>
    <d v="1899-12-30T00:30:00"/>
    <m/>
    <m/>
    <m/>
  </r>
  <r>
    <x v="5"/>
    <x v="0"/>
    <n v="21"/>
    <d v="1899-12-30T00:45:00"/>
    <m/>
    <m/>
    <m/>
  </r>
  <r>
    <x v="5"/>
    <x v="5"/>
    <n v="21"/>
    <d v="1899-12-30T01:05:00"/>
    <m/>
    <m/>
    <m/>
  </r>
  <r>
    <x v="6"/>
    <x v="0"/>
    <n v="20"/>
    <d v="1899-12-30T01:00:00"/>
    <m/>
    <m/>
    <m/>
  </r>
  <r>
    <x v="7"/>
    <x v="0"/>
    <n v="19"/>
    <d v="1899-12-30T01:00:00"/>
    <m/>
    <m/>
    <m/>
  </r>
  <r>
    <x v="8"/>
    <x v="6"/>
    <n v="18"/>
    <d v="1899-12-30T00:53:00"/>
    <m/>
    <d v="1899-12-30T14:37:00"/>
    <d v="1899-12-30T15:30:00"/>
  </r>
  <r>
    <x v="9"/>
    <x v="7"/>
    <n v="16"/>
    <d v="1899-12-30T00:45:00"/>
    <m/>
    <m/>
    <m/>
  </r>
  <r>
    <x v="10"/>
    <x v="0"/>
    <n v="15"/>
    <d v="1899-12-30T01:00:00"/>
    <m/>
    <m/>
    <m/>
  </r>
  <r>
    <x v="10"/>
    <x v="7"/>
    <n v="15"/>
    <d v="1899-12-30T00:30:00"/>
    <m/>
    <m/>
    <m/>
  </r>
  <r>
    <x v="11"/>
    <x v="0"/>
    <n v="14"/>
    <d v="1899-12-30T01:00:00"/>
    <m/>
    <m/>
    <m/>
  </r>
  <r>
    <x v="11"/>
    <x v="7"/>
    <n v="14"/>
    <d v="1899-12-30T00:30:00"/>
    <m/>
    <m/>
    <m/>
  </r>
  <r>
    <x v="11"/>
    <x v="1"/>
    <n v="14"/>
    <d v="1899-12-30T01:00:00"/>
    <m/>
    <m/>
    <m/>
  </r>
  <r>
    <x v="11"/>
    <x v="5"/>
    <n v="14"/>
    <d v="1899-12-30T01:30:00"/>
    <m/>
    <m/>
    <m/>
  </r>
  <r>
    <x v="11"/>
    <x v="8"/>
    <n v="14"/>
    <d v="1899-12-30T01:04:00"/>
    <m/>
    <d v="1899-12-30T19:41:00"/>
    <d v="1899-12-30T20:45:00"/>
  </r>
  <r>
    <x v="12"/>
    <x v="0"/>
    <n v="13"/>
    <d v="1899-12-30T01:10:00"/>
    <m/>
    <m/>
    <m/>
  </r>
  <r>
    <x v="12"/>
    <x v="9"/>
    <n v="13"/>
    <d v="1899-12-30T00:30:00"/>
    <m/>
    <m/>
    <m/>
  </r>
  <r>
    <x v="12"/>
    <x v="10"/>
    <n v="13"/>
    <d v="1899-12-30T01:00:00"/>
    <m/>
    <m/>
    <m/>
  </r>
  <r>
    <x v="13"/>
    <x v="0"/>
    <n v="12"/>
    <d v="1899-12-30T01:00:00"/>
    <m/>
    <m/>
    <m/>
  </r>
  <r>
    <x v="13"/>
    <x v="7"/>
    <n v="12"/>
    <d v="1899-12-30T00:45:00"/>
    <m/>
    <m/>
    <m/>
  </r>
  <r>
    <x v="13"/>
    <x v="10"/>
    <n v="12"/>
    <d v="1899-12-30T01:00:00"/>
    <m/>
    <m/>
    <m/>
  </r>
  <r>
    <x v="14"/>
    <x v="9"/>
    <n v="11"/>
    <d v="1899-12-30T00:30:00"/>
    <m/>
    <m/>
    <m/>
  </r>
  <r>
    <x v="14"/>
    <x v="10"/>
    <n v="11"/>
    <d v="1899-12-30T02:30:00"/>
    <m/>
    <m/>
    <m/>
  </r>
  <r>
    <x v="15"/>
    <x v="1"/>
    <n v="10"/>
    <d v="1899-12-30T00:45:00"/>
    <m/>
    <m/>
    <m/>
  </r>
  <r>
    <x v="15"/>
    <x v="5"/>
    <n v="10"/>
    <d v="1899-12-30T00:30:00"/>
    <m/>
    <m/>
    <m/>
  </r>
  <r>
    <x v="15"/>
    <x v="9"/>
    <n v="10"/>
    <d v="1899-12-30T00:45:00"/>
    <s v="初步了解mathematica"/>
    <m/>
    <m/>
  </r>
  <r>
    <x v="16"/>
    <x v="10"/>
    <n v="9"/>
    <d v="1899-12-30T01:00:00"/>
    <m/>
    <m/>
    <m/>
  </r>
  <r>
    <x v="16"/>
    <x v="0"/>
    <n v="9"/>
    <d v="1899-12-30T01:00:00"/>
    <m/>
    <m/>
    <m/>
  </r>
  <r>
    <x v="16"/>
    <x v="7"/>
    <n v="9"/>
    <d v="1899-12-30T00:30:00"/>
    <m/>
    <m/>
    <m/>
  </r>
  <r>
    <x v="16"/>
    <x v="11"/>
    <n v="9"/>
    <d v="1899-12-30T01:15:00"/>
    <m/>
    <m/>
    <m/>
  </r>
  <r>
    <x v="17"/>
    <x v="0"/>
    <n v="8"/>
    <d v="1899-12-30T00:30:00"/>
    <s v="第24讲是宏表函数，觉得并没有什么用，没怎么看"/>
    <m/>
    <m/>
  </r>
  <r>
    <x v="17"/>
    <x v="7"/>
    <n v="8"/>
    <d v="1899-12-30T00:30:00"/>
    <m/>
    <m/>
    <m/>
  </r>
  <r>
    <x v="18"/>
    <x v="12"/>
    <n v="7"/>
    <d v="1899-12-30T01:00:00"/>
    <m/>
    <m/>
    <m/>
  </r>
  <r>
    <x v="18"/>
    <x v="11"/>
    <n v="7"/>
    <d v="1899-12-30T00:45:00"/>
    <m/>
    <m/>
    <m/>
  </r>
  <r>
    <x v="19"/>
    <x v="11"/>
    <n v="6"/>
    <d v="1899-12-30T01:00:00"/>
    <m/>
    <m/>
    <m/>
  </r>
  <r>
    <x v="19"/>
    <x v="7"/>
    <n v="6"/>
    <d v="1899-12-30T00:40:00"/>
    <m/>
    <m/>
    <m/>
  </r>
  <r>
    <x v="20"/>
    <x v="11"/>
    <n v="5"/>
    <d v="1899-12-30T01:10:00"/>
    <m/>
    <m/>
    <m/>
  </r>
  <r>
    <x v="20"/>
    <x v="7"/>
    <n v="5"/>
    <d v="1899-12-30T00:30:00"/>
    <m/>
    <m/>
    <m/>
  </r>
  <r>
    <x v="21"/>
    <x v="13"/>
    <n v="3"/>
    <d v="1899-12-30T02:00:00"/>
    <m/>
    <m/>
    <m/>
  </r>
  <r>
    <x v="22"/>
    <x v="7"/>
    <n v="2"/>
    <d v="1899-12-30T00:30:00"/>
    <m/>
    <m/>
    <m/>
  </r>
  <r>
    <x v="22"/>
    <x v="12"/>
    <n v="2"/>
    <d v="1899-12-30T01:00:00"/>
    <m/>
    <m/>
    <m/>
  </r>
  <r>
    <x v="22"/>
    <x v="11"/>
    <n v="2"/>
    <d v="1899-12-30T00:30:00"/>
    <m/>
    <m/>
    <m/>
  </r>
  <r>
    <x v="22"/>
    <x v="13"/>
    <n v="2"/>
    <d v="1899-12-30T01:00:00"/>
    <m/>
    <m/>
    <m/>
  </r>
  <r>
    <x v="22"/>
    <x v="13"/>
    <n v="2"/>
    <d v="1899-12-30T00:30:00"/>
    <m/>
    <m/>
    <m/>
  </r>
  <r>
    <x v="23"/>
    <x v="11"/>
    <n v="1"/>
    <d v="1899-12-30T00:45:00"/>
    <m/>
    <m/>
    <m/>
  </r>
  <r>
    <x v="23"/>
    <x v="7"/>
    <n v="1"/>
    <d v="1899-12-30T00:30:00"/>
    <m/>
    <m/>
    <m/>
  </r>
  <r>
    <x v="23"/>
    <x v="12"/>
    <n v="1"/>
    <d v="1899-12-30T00:45:00"/>
    <m/>
    <m/>
    <m/>
  </r>
  <r>
    <x v="23"/>
    <x v="14"/>
    <n v="1"/>
    <d v="1899-12-30T01:00:00"/>
    <m/>
    <m/>
    <m/>
  </r>
  <r>
    <x v="24"/>
    <x v="11"/>
    <n v="0"/>
    <d v="1899-12-30T00:45:00"/>
    <m/>
    <m/>
    <m/>
  </r>
  <r>
    <x v="24"/>
    <x v="7"/>
    <n v="0"/>
    <d v="1899-12-30T00:3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x v="0"/>
    <n v="3"/>
    <n v="30"/>
  </r>
  <r>
    <x v="1"/>
    <x v="1"/>
    <n v="3"/>
    <n v="50"/>
  </r>
  <r>
    <x v="2"/>
    <x v="2"/>
    <n v="3"/>
    <n v="13"/>
  </r>
  <r>
    <x v="3"/>
    <x v="3"/>
    <n v="3"/>
    <n v="10"/>
  </r>
  <r>
    <x v="4"/>
    <x v="0"/>
    <n v="3"/>
    <n v="30"/>
  </r>
  <r>
    <x v="5"/>
    <x v="1"/>
    <n v="3"/>
    <n v="45"/>
  </r>
  <r>
    <x v="6"/>
    <x v="2"/>
    <n v="3"/>
    <n v="20"/>
  </r>
  <r>
    <x v="7"/>
    <x v="3"/>
    <n v="3"/>
    <n v="15"/>
  </r>
  <r>
    <x v="8"/>
    <x v="3"/>
    <n v="1"/>
    <n v="20"/>
  </r>
  <r>
    <x v="8"/>
    <x v="3"/>
    <n v="1"/>
    <n v="15"/>
  </r>
  <r>
    <x v="9"/>
    <x v="1"/>
    <n v="1"/>
    <n v="35"/>
  </r>
  <r>
    <x v="9"/>
    <x v="2"/>
    <n v="1"/>
    <n v="20"/>
  </r>
  <r>
    <x v="9"/>
    <x v="3"/>
    <n v="1"/>
    <n v="15"/>
  </r>
  <r>
    <x v="9"/>
    <x v="0"/>
    <n v="1"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72:F79" firstHeaderRow="1" firstDataRow="2" firstDataCol="1"/>
  <pivotFields count="7">
    <pivotField axis="axisCol" numFmtId="179" showAll="0" sortType="descending">
      <items count="26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4"/>
    </i>
    <i>
      <x v="6"/>
    </i>
    <i>
      <x v="9"/>
    </i>
    <i>
      <x v="15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求和项:时长" fld="3" baseField="0" baseItem="3" numFmtId="176"/>
  </dataFields>
  <formats count="18">
    <format dxfId="37">
      <pivotArea outline="0" collapsedLevelsAreSubtotals="1" fieldPosition="0"/>
    </format>
    <format dxfId="36">
      <pivotArea type="all" dataOnly="0" outline="0" fieldPosition="0"/>
    </format>
    <format dxfId="35">
      <pivotArea field="0" type="button" dataOnly="0" labelOnly="1" outline="0" axis="axisCol" fieldPosition="0"/>
    </format>
    <format dxfId="3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3">
      <pivotArea dataOnly="0" labelOnly="1" grandCol="1" outline="0" fieldPosition="0"/>
    </format>
    <format dxfId="32">
      <pivotArea field="0" type="button" dataOnly="0" labelOnly="1" outline="0" axis="axisCol" fieldPosition="0"/>
    </format>
    <format dxfId="31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0">
      <pivotArea dataOnly="0" labelOnly="1" grandCol="1" outline="0" fieldPosition="0"/>
    </format>
    <format dxfId="29">
      <pivotArea dataOnly="0" labelOnly="1" fieldPosition="0">
        <references count="1">
          <reference field="0" count="3">
            <x v="1"/>
            <x v="2"/>
            <x v="3"/>
          </reference>
        </references>
      </pivotArea>
    </format>
    <format dxfId="28">
      <pivotArea dataOnly="0" labelOnly="1" grandCol="1" outline="0" fieldPosition="0"/>
    </format>
    <format dxfId="27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26">
      <pivotArea dataOnly="0" labelOnly="1" grandRow="1" outline="0" fieldPosition="0"/>
    </format>
    <format dxfId="25">
      <pivotArea field="1" type="button" dataOnly="0" labelOnly="1" outline="0" axis="axisRow" fieldPosition="0"/>
    </format>
    <format dxfId="24">
      <pivotArea dataOnly="0" labelOnly="1" fieldPosition="0">
        <references count="1">
          <reference field="1" count="1">
            <x v="0"/>
          </reference>
        </references>
      </pivotArea>
    </format>
    <format dxfId="23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0" count="4">
            <x v="0"/>
            <x v="1"/>
            <x v="2"/>
            <x v="3"/>
          </reference>
        </references>
      </pivotArea>
    </format>
    <format dxfId="20">
      <pivotArea dataOnly="0" labelOnly="1" fieldPosition="0">
        <references count="1">
          <reference field="1" count="1">
            <x v="15"/>
          </reference>
        </references>
      </pivotArea>
    </format>
  </formats>
  <pivotTableStyleInfo name="PivotStyleDark2" showRowHeaders="1" showColHeaders="1" showRowStripes="1" showColStripes="1" showLastColumn="1"/>
  <filters count="1">
    <filter fld="0" type="thisWeek" evalOrder="-1" id="21">
      <autoFilter ref="A1">
        <filterColumn colId="0">
          <dynamicFilter type="thisWeek" val="42323" maxVal="423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18:K22" firstHeaderRow="1" firstDataRow="2" firstDataCol="1"/>
  <pivotFields count="4">
    <pivotField axis="axisRow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Col" showAll="0">
      <items count="5">
        <item x="3"/>
        <item x="0"/>
        <item x="1"/>
        <item x="2"/>
        <item t="default"/>
      </items>
    </pivotField>
    <pivotField numFmtId="181" showAll="0" defaultSubtotal="0"/>
    <pivotField dataField="1" showAll="0"/>
  </pivotFields>
  <rowFields count="1">
    <field x="0"/>
  </rowFields>
  <rowItems count="3">
    <i>
      <x v="319"/>
    </i>
    <i>
      <x v="32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次数/时长" fld="3" baseField="0" baseItem="0"/>
  </dataFields>
  <formats count="1">
    <format dxfId="19">
      <pivotArea type="all" dataOnly="0" outline="0" fieldPosition="0"/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/>
  <cols>
    <col min="1" max="1" width="10.125" style="30" bestFit="1" customWidth="1"/>
    <col min="2" max="2" width="17.5" style="31" bestFit="1" customWidth="1"/>
    <col min="3" max="3" width="20.375" style="32" customWidth="1"/>
    <col min="4" max="4" width="18.625" style="31" bestFit="1" customWidth="1"/>
    <col min="5" max="5" width="16.25" style="31" customWidth="1"/>
    <col min="6" max="7" width="13.125" style="31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38</v>
      </c>
      <c r="H3" s="13">
        <f ca="1">H2-TODAY()</f>
        <v>82</v>
      </c>
      <c r="I3" s="13">
        <f ca="1">I2-TODAY()</f>
        <v>142</v>
      </c>
      <c r="J3" s="13">
        <f ca="1">J2-TODAY()</f>
        <v>220</v>
      </c>
      <c r="K3" s="13">
        <f ca="1">K2-TODAY()</f>
        <v>402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6"/>
      <c r="B20" s="27"/>
      <c r="C20" s="28"/>
      <c r="D20" s="29"/>
      <c r="E20" s="10"/>
      <c r="F20" s="10"/>
      <c r="G20" s="10"/>
    </row>
    <row r="22" spans="1:7">
      <c r="A22" s="30" t="s">
        <v>91</v>
      </c>
      <c r="B22" s="31" t="s">
        <v>111</v>
      </c>
      <c r="C22" s="32" t="s">
        <v>112</v>
      </c>
      <c r="D22" s="31" t="s">
        <v>113</v>
      </c>
    </row>
    <row r="23" spans="1:7">
      <c r="A23" s="30" t="s">
        <v>92</v>
      </c>
      <c r="B23" s="31" t="s">
        <v>93</v>
      </c>
      <c r="C23" s="32" t="s">
        <v>96</v>
      </c>
      <c r="D23" s="31" t="s">
        <v>97</v>
      </c>
      <c r="E23" s="31" t="s">
        <v>98</v>
      </c>
    </row>
    <row r="24" spans="1:7">
      <c r="B24" s="31" t="s">
        <v>94</v>
      </c>
    </row>
    <row r="25" spans="1:7">
      <c r="B25" s="31" t="s">
        <v>95</v>
      </c>
    </row>
    <row r="26" spans="1:7">
      <c r="B26" s="31" t="s">
        <v>99</v>
      </c>
    </row>
    <row r="29" spans="1:7">
      <c r="A29" s="30" t="s">
        <v>123</v>
      </c>
    </row>
    <row r="30" spans="1:7">
      <c r="A30" s="30" t="s">
        <v>124</v>
      </c>
    </row>
    <row r="31" spans="1:7">
      <c r="A31" s="30" t="s">
        <v>125</v>
      </c>
    </row>
    <row r="32" spans="1:7">
      <c r="A32" s="30" t="s">
        <v>126</v>
      </c>
    </row>
    <row r="33" spans="1:1">
      <c r="A33" s="30" t="s">
        <v>127</v>
      </c>
    </row>
    <row r="34" spans="1:1">
      <c r="A34" s="30" t="s">
        <v>128</v>
      </c>
    </row>
  </sheetData>
  <phoneticPr fontId="4" type="noConversion"/>
  <conditionalFormatting sqref="A1:D21 A22 A23:D29 A31:D1048576 A30">
    <cfRule type="expression" dxfId="47" priority="1">
      <formula>$A1="graduate"</formula>
    </cfRule>
    <cfRule type="expression" dxfId="46" priority="2">
      <formula>$A1="CS"</formula>
    </cfRule>
    <cfRule type="expression" dxfId="45" priority="3">
      <formula>$A1="python"</formula>
    </cfRule>
  </conditionalFormatting>
  <conditionalFormatting sqref="B22:D22">
    <cfRule type="expression" dxfId="44" priority="13">
      <formula>$A30="graduate"</formula>
    </cfRule>
    <cfRule type="expression" dxfId="43" priority="14">
      <formula>$A30="CS"</formula>
    </cfRule>
    <cfRule type="expression" dxfId="42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A2" sqref="A2:XFD2"/>
    </sheetView>
  </sheetViews>
  <sheetFormatPr defaultRowHeight="13.5"/>
  <cols>
    <col min="3" max="3" width="9" style="43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40" t="s">
        <v>134</v>
      </c>
      <c r="B1" s="40" t="s">
        <v>135</v>
      </c>
      <c r="C1" s="43" t="s">
        <v>151</v>
      </c>
    </row>
    <row r="2" spans="1:6">
      <c r="A2" s="40"/>
      <c r="B2" s="40"/>
    </row>
    <row r="3" spans="1:6">
      <c r="A3" s="40"/>
      <c r="B3" s="40" t="s">
        <v>142</v>
      </c>
      <c r="C3" s="43">
        <v>1</v>
      </c>
    </row>
    <row r="4" spans="1:6">
      <c r="B4" t="s">
        <v>138</v>
      </c>
      <c r="C4" s="43">
        <v>1</v>
      </c>
    </row>
    <row r="5" spans="1:6">
      <c r="B5" t="s">
        <v>139</v>
      </c>
      <c r="C5" s="43">
        <v>1</v>
      </c>
    </row>
    <row r="6" spans="1:6">
      <c r="B6" t="s">
        <v>140</v>
      </c>
      <c r="C6" s="43">
        <v>1</v>
      </c>
    </row>
    <row r="7" spans="1:6">
      <c r="B7" t="s">
        <v>141</v>
      </c>
      <c r="C7" s="43">
        <v>1</v>
      </c>
    </row>
    <row r="8" spans="1:6">
      <c r="B8" t="s">
        <v>150</v>
      </c>
      <c r="C8" s="43">
        <v>1</v>
      </c>
    </row>
    <row r="13" spans="1:6">
      <c r="E13" s="43"/>
      <c r="F13" s="43"/>
    </row>
    <row r="14" spans="1:6">
      <c r="E14" s="39"/>
      <c r="F14" s="43"/>
    </row>
    <row r="15" spans="1:6">
      <c r="E15" s="39"/>
      <c r="F15" s="43"/>
    </row>
    <row r="16" spans="1:6">
      <c r="E16" s="39"/>
      <c r="F16" s="4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19" workbookViewId="0">
      <selection activeCell="D13" sqref="D13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4"/>
    <col min="7" max="7" width="11.25" style="33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4" t="s">
        <v>100</v>
      </c>
      <c r="G1" s="33" t="s">
        <v>101</v>
      </c>
    </row>
    <row r="2" spans="1:7">
      <c r="A2" s="2" t="s">
        <v>37</v>
      </c>
      <c r="B2" s="3" t="s">
        <v>49</v>
      </c>
      <c r="C2" s="2" t="s">
        <v>110</v>
      </c>
      <c r="D2" s="4">
        <v>1</v>
      </c>
      <c r="E2" s="5">
        <f>SUMIF(学习记录!B:B,C2,学习记录!D:D)</f>
        <v>0.22916666666666666</v>
      </c>
    </row>
    <row r="3" spans="1:7">
      <c r="A3" s="2" t="s">
        <v>37</v>
      </c>
      <c r="C3" s="2" t="s">
        <v>154</v>
      </c>
      <c r="D3" s="4">
        <v>1</v>
      </c>
      <c r="E3" s="5">
        <f>SUMIF(学习记录!B:B,C3,学习记录!D:D)</f>
        <v>0.14583333333333334</v>
      </c>
    </row>
    <row r="4" spans="1:7">
      <c r="A4" s="2" t="s">
        <v>158</v>
      </c>
      <c r="C4" s="2" t="s">
        <v>160</v>
      </c>
      <c r="D4" s="4">
        <v>1</v>
      </c>
      <c r="E4" s="5">
        <f>SUMIF(学习记录!B:B,C4,学习记录!D:D)</f>
        <v>8.3333333333333329E-2</v>
      </c>
    </row>
    <row r="5" spans="1:7">
      <c r="A5" s="2" t="s">
        <v>102</v>
      </c>
      <c r="B5" s="3" t="s">
        <v>78</v>
      </c>
      <c r="C5" s="3" t="s">
        <v>12</v>
      </c>
      <c r="D5" s="4">
        <v>1</v>
      </c>
      <c r="E5" s="5">
        <f>SUMIF(学习记录!B:B,C5,学习记录!D:D)</f>
        <v>0.17708333333333331</v>
      </c>
      <c r="F5" s="34">
        <v>1</v>
      </c>
      <c r="G5" s="33">
        <f>E5/F5</f>
        <v>0.17708333333333331</v>
      </c>
    </row>
    <row r="6" spans="1:7">
      <c r="A6" s="2" t="s">
        <v>115</v>
      </c>
      <c r="B6" s="3" t="s">
        <v>88</v>
      </c>
      <c r="C6" s="3" t="s">
        <v>87</v>
      </c>
      <c r="D6" s="4">
        <v>1</v>
      </c>
      <c r="E6" s="5">
        <f>SUMIF(学习记录!B:B,C6,学习记录!D:D)</f>
        <v>0.27777777777777779</v>
      </c>
    </row>
    <row r="7" spans="1:7">
      <c r="A7" s="2" t="s">
        <v>102</v>
      </c>
      <c r="B7" s="3" t="s">
        <v>79</v>
      </c>
      <c r="C7" s="3" t="s">
        <v>34</v>
      </c>
      <c r="D7" s="4">
        <v>1</v>
      </c>
      <c r="E7" s="5">
        <f>SUMIF(学习记录!B:B,C7,学习记录!D:D)</f>
        <v>0.12847222222222224</v>
      </c>
      <c r="F7" s="34">
        <v>1.25</v>
      </c>
      <c r="G7" s="33">
        <f>E7/F7</f>
        <v>0.10277777777777779</v>
      </c>
    </row>
    <row r="8" spans="1:7">
      <c r="A8" s="2" t="s">
        <v>116</v>
      </c>
      <c r="C8" s="3" t="s">
        <v>118</v>
      </c>
      <c r="D8" s="4">
        <v>1</v>
      </c>
      <c r="E8" s="5">
        <f>SUMIF(学习记录!B:B,C8,学习记录!D:D)</f>
        <v>0.28819444444444442</v>
      </c>
    </row>
    <row r="9" spans="1:7">
      <c r="A9" s="2" t="s">
        <v>103</v>
      </c>
      <c r="C9" s="24" t="s">
        <v>108</v>
      </c>
      <c r="D9" s="4">
        <v>1</v>
      </c>
      <c r="E9" s="5">
        <f>SUMIF(学习记录!B:B,C9,学习记录!D:D)</f>
        <v>7.2916666666666657E-2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>
      <c r="A11" s="2" t="s">
        <v>129</v>
      </c>
      <c r="C11" s="3" t="s">
        <v>131</v>
      </c>
      <c r="D11" s="8">
        <v>1</v>
      </c>
      <c r="E11" s="5">
        <f>SUMIF(学习记录!B:B,C11,学习记录!D:D)</f>
        <v>0.14583333333333331</v>
      </c>
      <c r="F11" s="34">
        <v>0.58333333333333337</v>
      </c>
      <c r="G11" s="33">
        <f>E11/F11</f>
        <v>0.24999999999999994</v>
      </c>
    </row>
    <row r="12" spans="1:7">
      <c r="A12" s="2" t="s">
        <v>144</v>
      </c>
      <c r="C12" s="3" t="s">
        <v>143</v>
      </c>
      <c r="D12" s="8">
        <v>2</v>
      </c>
      <c r="E12" s="5">
        <f>SUMIF(学习记录!B:B,C12,学习记录!D:D)</f>
        <v>0</v>
      </c>
    </row>
    <row r="13" spans="1:7">
      <c r="A13" s="6" t="s">
        <v>9</v>
      </c>
      <c r="B13" s="3" t="s">
        <v>45</v>
      </c>
      <c r="C13" s="6" t="s">
        <v>10</v>
      </c>
      <c r="D13" s="4">
        <v>2</v>
      </c>
      <c r="E13" s="5">
        <f>SUMIF(学习记录!B:B,C13,学习记录!D:D)</f>
        <v>0.100694444444444</v>
      </c>
    </row>
    <row r="14" spans="1:7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SUMIF(学习记录!B:B,C14,学习记录!D:D)</f>
        <v>3.6805555555555536E-2</v>
      </c>
    </row>
    <row r="15" spans="1:7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SUMIF(学习记录!B:B,C15,学习记录!D:D)</f>
        <v>2.0833333333333332E-2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4">
        <v>0.49652777777777773</v>
      </c>
      <c r="G33" s="33">
        <f>E33/F33</f>
        <v>1.0000000000000004</v>
      </c>
    </row>
  </sheetData>
  <autoFilter ref="A1:E33"/>
  <sortState ref="A2:G30">
    <sortCondition ref="D2:D30"/>
    <sortCondition descending="1" ref="E2:E30"/>
  </sortState>
  <phoneticPr fontId="4" type="noConversion"/>
  <conditionalFormatting sqref="A1:F1048576">
    <cfRule type="expression" dxfId="41" priority="6">
      <formula>$D1=1</formula>
    </cfRule>
  </conditionalFormatting>
  <conditionalFormatting sqref="A1:G1048576">
    <cfRule type="expression" dxfId="4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97"/>
  <sheetViews>
    <sheetView tabSelected="1" topLeftCell="A52" workbookViewId="0">
      <selection activeCell="A58" sqref="A58"/>
    </sheetView>
  </sheetViews>
  <sheetFormatPr defaultColWidth="9" defaultRowHeight="13.5"/>
  <cols>
    <col min="1" max="1" width="11.5" style="25" customWidth="1"/>
    <col min="2" max="2" width="24.75" customWidth="1"/>
    <col min="3" max="3" width="10.25" style="36" bestFit="1" customWidth="1"/>
    <col min="4" max="4" width="11.875" style="35" customWidth="1"/>
    <col min="5" max="5" width="10.875" style="43" customWidth="1"/>
    <col min="6" max="6" width="10.25" style="1" bestFit="1" customWidth="1"/>
    <col min="7" max="7" width="9" style="1"/>
    <col min="8" max="8" width="19.875" style="51" customWidth="1"/>
    <col min="9" max="9" width="13.25" style="35" bestFit="1" customWidth="1"/>
    <col min="10" max="10" width="14.125" style="36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25" t="s">
        <v>31</v>
      </c>
      <c r="B1" t="s">
        <v>32</v>
      </c>
      <c r="C1" s="36" t="s">
        <v>0</v>
      </c>
      <c r="D1" s="37" t="s">
        <v>3</v>
      </c>
      <c r="E1" s="48" t="s">
        <v>155</v>
      </c>
      <c r="F1" s="1" t="s">
        <v>1</v>
      </c>
      <c r="G1" s="1" t="s">
        <v>2</v>
      </c>
    </row>
    <row r="2" spans="1:7">
      <c r="A2" s="25">
        <v>42300</v>
      </c>
      <c r="B2" t="s">
        <v>8</v>
      </c>
      <c r="C2" s="36">
        <f t="shared" ref="C2:C50" ca="1" si="0">TODAY()-A2</f>
        <v>26</v>
      </c>
      <c r="D2" s="35">
        <v>4.1666666666666699E-2</v>
      </c>
    </row>
    <row r="3" spans="1:7">
      <c r="A3" s="25">
        <v>42300</v>
      </c>
      <c r="B3" t="s">
        <v>12</v>
      </c>
      <c r="C3" s="36">
        <f t="shared" ca="1" si="0"/>
        <v>26</v>
      </c>
      <c r="D3" s="35">
        <v>6.25E-2</v>
      </c>
    </row>
    <row r="4" spans="1:7">
      <c r="A4" s="25">
        <v>42301</v>
      </c>
      <c r="B4" t="s">
        <v>33</v>
      </c>
      <c r="C4" s="36">
        <f t="shared" ca="1" si="0"/>
        <v>25</v>
      </c>
      <c r="D4" s="35">
        <f>G4-F4</f>
        <v>0.100694444444444</v>
      </c>
      <c r="F4" s="1">
        <v>0</v>
      </c>
      <c r="G4" s="1">
        <v>0.100694444444444</v>
      </c>
    </row>
    <row r="5" spans="1:7">
      <c r="A5" s="25">
        <v>42302</v>
      </c>
      <c r="B5" t="s">
        <v>22</v>
      </c>
      <c r="C5" s="36">
        <f t="shared" ca="1" si="0"/>
        <v>24</v>
      </c>
      <c r="D5" s="35">
        <f>G5-F5</f>
        <v>1.4583333333332948E-2</v>
      </c>
      <c r="F5" s="1">
        <v>0.53125</v>
      </c>
      <c r="G5" s="1">
        <v>0.54583333333333295</v>
      </c>
    </row>
    <row r="6" spans="1:7">
      <c r="A6" s="25">
        <v>42303</v>
      </c>
      <c r="B6" t="s">
        <v>8</v>
      </c>
      <c r="C6" s="36">
        <f t="shared" ca="1" si="0"/>
        <v>23</v>
      </c>
      <c r="D6" s="35">
        <v>4.1666666666666699E-2</v>
      </c>
    </row>
    <row r="7" spans="1:7">
      <c r="A7" s="25">
        <v>42303</v>
      </c>
      <c r="B7" t="s">
        <v>12</v>
      </c>
      <c r="C7" s="36">
        <f t="shared" ca="1" si="0"/>
        <v>23</v>
      </c>
      <c r="D7" s="35">
        <v>4.1666666666666664E-2</v>
      </c>
    </row>
    <row r="8" spans="1:7">
      <c r="A8" s="25">
        <v>42304</v>
      </c>
      <c r="B8" t="s">
        <v>8</v>
      </c>
      <c r="C8" s="36">
        <f t="shared" ca="1" si="0"/>
        <v>22</v>
      </c>
      <c r="D8" s="35">
        <v>6.25E-2</v>
      </c>
    </row>
    <row r="9" spans="1:7">
      <c r="A9" s="25">
        <v>42304</v>
      </c>
      <c r="B9" t="s">
        <v>24</v>
      </c>
      <c r="C9" s="36">
        <f t="shared" ca="1" si="0"/>
        <v>22</v>
      </c>
      <c r="D9" s="35">
        <v>2.0833333333333332E-2</v>
      </c>
    </row>
    <row r="10" spans="1:7">
      <c r="A10" s="25">
        <v>42305</v>
      </c>
      <c r="B10" t="s">
        <v>8</v>
      </c>
      <c r="C10" s="36">
        <f t="shared" ca="1" si="0"/>
        <v>21</v>
      </c>
      <c r="D10" s="35">
        <v>3.125E-2</v>
      </c>
    </row>
    <row r="11" spans="1:7">
      <c r="A11" s="25">
        <v>42305</v>
      </c>
      <c r="B11" t="s">
        <v>36</v>
      </c>
      <c r="C11" s="36">
        <f t="shared" ca="1" si="0"/>
        <v>21</v>
      </c>
      <c r="D11" s="35">
        <v>4.5138888888888888E-2</v>
      </c>
    </row>
    <row r="12" spans="1:7">
      <c r="A12" s="25">
        <v>42306</v>
      </c>
      <c r="B12" t="s">
        <v>8</v>
      </c>
      <c r="C12" s="36">
        <f t="shared" ca="1" si="0"/>
        <v>20</v>
      </c>
      <c r="D12" s="35">
        <v>4.1666666666666664E-2</v>
      </c>
    </row>
    <row r="13" spans="1:7">
      <c r="A13" s="25">
        <v>42307</v>
      </c>
      <c r="B13" t="s">
        <v>8</v>
      </c>
      <c r="C13" s="36">
        <f t="shared" ca="1" si="0"/>
        <v>19</v>
      </c>
      <c r="D13" s="35">
        <v>4.1666666666666664E-2</v>
      </c>
    </row>
    <row r="14" spans="1:7">
      <c r="A14" s="25">
        <v>42308</v>
      </c>
      <c r="B14" t="s">
        <v>83</v>
      </c>
      <c r="C14" s="36">
        <f t="shared" ca="1" si="0"/>
        <v>18</v>
      </c>
      <c r="D14" s="35">
        <f>G14-F14</f>
        <v>3.6805555555555536E-2</v>
      </c>
      <c r="F14" s="1">
        <v>0.60902777777777783</v>
      </c>
      <c r="G14" s="1">
        <v>0.64583333333333337</v>
      </c>
    </row>
    <row r="15" spans="1:7">
      <c r="A15" s="25">
        <v>42310</v>
      </c>
      <c r="B15" t="s">
        <v>86</v>
      </c>
      <c r="C15" s="36">
        <f t="shared" ca="1" si="0"/>
        <v>16</v>
      </c>
      <c r="D15" s="35">
        <v>3.125E-2</v>
      </c>
    </row>
    <row r="16" spans="1:7">
      <c r="A16" s="25">
        <v>42311</v>
      </c>
      <c r="B16" t="s">
        <v>8</v>
      </c>
      <c r="C16" s="36">
        <f t="shared" ca="1" si="0"/>
        <v>15</v>
      </c>
      <c r="D16" s="35">
        <v>4.1666666666666664E-2</v>
      </c>
    </row>
    <row r="17" spans="1:7">
      <c r="A17" s="25">
        <v>42311</v>
      </c>
      <c r="B17" t="s">
        <v>86</v>
      </c>
      <c r="C17" s="36">
        <f t="shared" ca="1" si="0"/>
        <v>15</v>
      </c>
      <c r="D17" s="35">
        <v>2.0833333333333332E-2</v>
      </c>
    </row>
    <row r="18" spans="1:7">
      <c r="A18" s="25">
        <v>42312</v>
      </c>
      <c r="B18" t="s">
        <v>8</v>
      </c>
      <c r="C18" s="36">
        <f t="shared" ca="1" si="0"/>
        <v>14</v>
      </c>
      <c r="D18" s="35">
        <v>4.1666666666666664E-2</v>
      </c>
    </row>
    <row r="19" spans="1:7">
      <c r="A19" s="25">
        <v>42312</v>
      </c>
      <c r="B19" t="s">
        <v>86</v>
      </c>
      <c r="C19" s="36">
        <f t="shared" ca="1" si="0"/>
        <v>14</v>
      </c>
      <c r="D19" s="35">
        <v>2.0833333333333332E-2</v>
      </c>
    </row>
    <row r="20" spans="1:7">
      <c r="A20" s="25">
        <v>42312</v>
      </c>
      <c r="B20" t="s">
        <v>12</v>
      </c>
      <c r="C20" s="36">
        <f t="shared" ca="1" si="0"/>
        <v>14</v>
      </c>
      <c r="D20" s="35">
        <v>4.1666666666666664E-2</v>
      </c>
    </row>
    <row r="21" spans="1:7">
      <c r="A21" s="25">
        <v>42312</v>
      </c>
      <c r="B21" t="s">
        <v>36</v>
      </c>
      <c r="C21" s="36">
        <f t="shared" ca="1" si="0"/>
        <v>14</v>
      </c>
      <c r="D21" s="35">
        <v>6.25E-2</v>
      </c>
    </row>
    <row r="22" spans="1:7">
      <c r="A22" s="25">
        <v>42312</v>
      </c>
      <c r="B22" t="s">
        <v>104</v>
      </c>
      <c r="C22" s="36">
        <f t="shared" ca="1" si="0"/>
        <v>14</v>
      </c>
      <c r="D22" s="35">
        <f>G22-F22</f>
        <v>4.4444444444444509E-2</v>
      </c>
      <c r="F22" s="1">
        <v>0.82013888888888886</v>
      </c>
      <c r="G22" s="1">
        <v>0.86458333333333337</v>
      </c>
    </row>
    <row r="23" spans="1:7">
      <c r="A23" s="25">
        <v>42313</v>
      </c>
      <c r="B23" t="s">
        <v>8</v>
      </c>
      <c r="C23" s="36">
        <f t="shared" ca="1" si="0"/>
        <v>13</v>
      </c>
      <c r="D23" s="35">
        <v>4.8611111111111112E-2</v>
      </c>
    </row>
    <row r="24" spans="1:7">
      <c r="A24" s="25">
        <v>42313</v>
      </c>
      <c r="B24" t="s">
        <v>109</v>
      </c>
      <c r="C24" s="36">
        <f t="shared" ca="1" si="0"/>
        <v>13</v>
      </c>
      <c r="D24" s="35">
        <v>2.0833333333333332E-2</v>
      </c>
    </row>
    <row r="25" spans="1:7">
      <c r="A25" s="25">
        <v>42313</v>
      </c>
      <c r="B25" t="s">
        <v>14</v>
      </c>
      <c r="C25" s="36">
        <f t="shared" ca="1" si="0"/>
        <v>13</v>
      </c>
      <c r="D25" s="35">
        <v>4.1666666666666664E-2</v>
      </c>
    </row>
    <row r="26" spans="1:7">
      <c r="A26" s="25">
        <v>42314</v>
      </c>
      <c r="B26" t="s">
        <v>8</v>
      </c>
      <c r="C26" s="36">
        <f t="shared" ca="1" si="0"/>
        <v>12</v>
      </c>
      <c r="D26" s="35">
        <v>4.1666666666666664E-2</v>
      </c>
    </row>
    <row r="27" spans="1:7">
      <c r="A27" s="25">
        <v>42314</v>
      </c>
      <c r="B27" t="s">
        <v>86</v>
      </c>
      <c r="C27" s="36">
        <f t="shared" ca="1" si="0"/>
        <v>12</v>
      </c>
      <c r="D27" s="35">
        <v>3.125E-2</v>
      </c>
    </row>
    <row r="28" spans="1:7">
      <c r="A28" s="25">
        <v>42314</v>
      </c>
      <c r="B28" t="s">
        <v>14</v>
      </c>
      <c r="C28" s="36">
        <f t="shared" ca="1" si="0"/>
        <v>12</v>
      </c>
      <c r="D28" s="35">
        <v>4.1666666666666664E-2</v>
      </c>
    </row>
    <row r="29" spans="1:7">
      <c r="A29" s="25">
        <v>42315</v>
      </c>
      <c r="B29" t="s">
        <v>109</v>
      </c>
      <c r="C29" s="36">
        <f t="shared" ca="1" si="0"/>
        <v>11</v>
      </c>
      <c r="D29" s="35">
        <v>2.0833333333333332E-2</v>
      </c>
    </row>
    <row r="30" spans="1:7">
      <c r="A30" s="25">
        <v>42315</v>
      </c>
      <c r="B30" t="s">
        <v>14</v>
      </c>
      <c r="C30" s="36">
        <f t="shared" ca="1" si="0"/>
        <v>11</v>
      </c>
      <c r="D30" s="35">
        <v>0.10416666666666667</v>
      </c>
      <c r="E30" s="44"/>
    </row>
    <row r="31" spans="1:7">
      <c r="A31" s="25">
        <v>42316</v>
      </c>
      <c r="B31" t="s">
        <v>12</v>
      </c>
      <c r="C31" s="36">
        <f t="shared" ca="1" si="0"/>
        <v>10</v>
      </c>
      <c r="D31" s="35">
        <v>3.125E-2</v>
      </c>
    </row>
    <row r="32" spans="1:7">
      <c r="A32" s="25">
        <v>42316</v>
      </c>
      <c r="B32" t="s">
        <v>36</v>
      </c>
      <c r="C32" s="36">
        <f t="shared" ca="1" si="0"/>
        <v>10</v>
      </c>
      <c r="D32" s="35">
        <v>2.0833333333333332E-2</v>
      </c>
    </row>
    <row r="33" spans="1:5">
      <c r="A33" s="25">
        <v>42316</v>
      </c>
      <c r="B33" t="s">
        <v>109</v>
      </c>
      <c r="C33" s="36">
        <f t="shared" ca="1" si="0"/>
        <v>10</v>
      </c>
      <c r="D33" s="35">
        <v>3.125E-2</v>
      </c>
      <c r="E33" s="44" t="s">
        <v>114</v>
      </c>
    </row>
    <row r="34" spans="1:5">
      <c r="A34" s="25">
        <v>42317</v>
      </c>
      <c r="B34" t="s">
        <v>14</v>
      </c>
      <c r="C34" s="36">
        <f t="shared" ca="1" si="0"/>
        <v>9</v>
      </c>
      <c r="D34" s="38">
        <v>4.1666666666666664E-2</v>
      </c>
    </row>
    <row r="35" spans="1:5">
      <c r="A35" s="25">
        <v>42317</v>
      </c>
      <c r="B35" t="s">
        <v>8</v>
      </c>
      <c r="C35" s="36">
        <f t="shared" ca="1" si="0"/>
        <v>9</v>
      </c>
      <c r="D35" s="35">
        <v>4.1666666666666664E-2</v>
      </c>
    </row>
    <row r="36" spans="1:5">
      <c r="A36" s="25">
        <v>42317</v>
      </c>
      <c r="B36" t="s">
        <v>86</v>
      </c>
      <c r="C36" s="36">
        <f t="shared" ca="1" si="0"/>
        <v>9</v>
      </c>
      <c r="D36" s="35">
        <v>2.0833333333333332E-2</v>
      </c>
    </row>
    <row r="37" spans="1:5">
      <c r="A37" s="25">
        <v>42317</v>
      </c>
      <c r="B37" t="s">
        <v>117</v>
      </c>
      <c r="C37" s="36">
        <f t="shared" ca="1" si="0"/>
        <v>9</v>
      </c>
      <c r="D37" s="35">
        <v>5.2083333333333336E-2</v>
      </c>
    </row>
    <row r="38" spans="1:5" ht="15.75" customHeight="1">
      <c r="A38" s="25">
        <v>42318</v>
      </c>
      <c r="B38" t="s">
        <v>8</v>
      </c>
      <c r="C38" s="36">
        <f t="shared" ca="1" si="0"/>
        <v>8</v>
      </c>
      <c r="D38" s="35">
        <v>2.0833333333333332E-2</v>
      </c>
      <c r="E38" s="47" t="s">
        <v>122</v>
      </c>
    </row>
    <row r="39" spans="1:5">
      <c r="A39" s="25">
        <v>42318</v>
      </c>
      <c r="B39" t="s">
        <v>86</v>
      </c>
      <c r="C39" s="36">
        <f t="shared" ca="1" si="0"/>
        <v>8</v>
      </c>
      <c r="D39" s="35">
        <v>2.0833333333333332E-2</v>
      </c>
    </row>
    <row r="40" spans="1:5">
      <c r="A40" s="25">
        <v>42319</v>
      </c>
      <c r="B40" t="s">
        <v>130</v>
      </c>
      <c r="C40" s="36">
        <f t="shared" ca="1" si="0"/>
        <v>7</v>
      </c>
      <c r="D40" s="35">
        <v>4.1666666666666664E-2</v>
      </c>
    </row>
    <row r="41" spans="1:5">
      <c r="A41" s="25">
        <v>42319</v>
      </c>
      <c r="B41" t="s">
        <v>117</v>
      </c>
      <c r="C41" s="36">
        <f t="shared" ca="1" si="0"/>
        <v>7</v>
      </c>
      <c r="D41" s="35">
        <v>3.125E-2</v>
      </c>
    </row>
    <row r="42" spans="1:5">
      <c r="A42" s="25">
        <v>42320</v>
      </c>
      <c r="B42" t="s">
        <v>117</v>
      </c>
      <c r="C42" s="36">
        <f t="shared" ca="1" si="0"/>
        <v>6</v>
      </c>
      <c r="D42" s="35">
        <v>4.1666666666666664E-2</v>
      </c>
    </row>
    <row r="43" spans="1:5">
      <c r="A43" s="25">
        <v>42320</v>
      </c>
      <c r="B43" t="s">
        <v>86</v>
      </c>
      <c r="C43" s="36">
        <f t="shared" ca="1" si="0"/>
        <v>6</v>
      </c>
      <c r="D43" s="35">
        <v>2.7777777777777776E-2</v>
      </c>
    </row>
    <row r="44" spans="1:5">
      <c r="A44" s="25">
        <v>42321</v>
      </c>
      <c r="B44" t="s">
        <v>117</v>
      </c>
      <c r="C44" s="36">
        <f t="shared" ca="1" si="0"/>
        <v>5</v>
      </c>
      <c r="D44" s="35">
        <v>4.8611111111111112E-2</v>
      </c>
    </row>
    <row r="45" spans="1:5">
      <c r="A45" s="25">
        <v>42321</v>
      </c>
      <c r="B45" t="s">
        <v>86</v>
      </c>
      <c r="C45" s="36">
        <f t="shared" ca="1" si="0"/>
        <v>5</v>
      </c>
      <c r="D45" s="35">
        <v>2.0833333333333332E-2</v>
      </c>
    </row>
    <row r="46" spans="1:5">
      <c r="A46" s="25">
        <v>42323</v>
      </c>
      <c r="B46" t="s">
        <v>153</v>
      </c>
      <c r="C46" s="36">
        <f t="shared" ca="1" si="0"/>
        <v>3</v>
      </c>
      <c r="D46" s="35">
        <v>8.3333333333333329E-2</v>
      </c>
    </row>
    <row r="47" spans="1:5">
      <c r="A47" s="25">
        <v>42324</v>
      </c>
      <c r="B47" t="s">
        <v>86</v>
      </c>
      <c r="C47" s="36">
        <f t="shared" ca="1" si="0"/>
        <v>2</v>
      </c>
      <c r="D47" s="35">
        <v>2.0833333333333332E-2</v>
      </c>
    </row>
    <row r="48" spans="1:5">
      <c r="A48" s="25">
        <v>42324</v>
      </c>
      <c r="B48" t="s">
        <v>130</v>
      </c>
      <c r="C48" s="36">
        <f t="shared" ca="1" si="0"/>
        <v>2</v>
      </c>
      <c r="D48" s="35">
        <v>4.1666666666666664E-2</v>
      </c>
    </row>
    <row r="49" spans="1:4">
      <c r="A49" s="25">
        <v>42324</v>
      </c>
      <c r="B49" t="s">
        <v>117</v>
      </c>
      <c r="C49" s="36">
        <f t="shared" ca="1" si="0"/>
        <v>2</v>
      </c>
      <c r="D49" s="35">
        <v>2.0833333333333332E-2</v>
      </c>
    </row>
    <row r="50" spans="1:4">
      <c r="A50" s="25">
        <v>42324</v>
      </c>
      <c r="B50" t="s">
        <v>153</v>
      </c>
      <c r="C50" s="36">
        <f t="shared" ca="1" si="0"/>
        <v>2</v>
      </c>
      <c r="D50" s="35">
        <v>4.1666666666666664E-2</v>
      </c>
    </row>
    <row r="51" spans="1:4">
      <c r="A51" s="25">
        <v>42324</v>
      </c>
      <c r="B51" t="s">
        <v>153</v>
      </c>
      <c r="C51" s="36">
        <f t="shared" ref="C51:C57" ca="1" si="1">TODAY()-A51</f>
        <v>2</v>
      </c>
      <c r="D51" s="35">
        <v>2.0833333333333332E-2</v>
      </c>
    </row>
    <row r="52" spans="1:4">
      <c r="A52" s="25">
        <v>42325</v>
      </c>
      <c r="B52" t="s">
        <v>117</v>
      </c>
      <c r="C52" s="36">
        <f t="shared" ca="1" si="1"/>
        <v>1</v>
      </c>
      <c r="D52" s="35">
        <v>3.125E-2</v>
      </c>
    </row>
    <row r="53" spans="1:4">
      <c r="A53" s="25">
        <v>42325</v>
      </c>
      <c r="B53" t="s">
        <v>86</v>
      </c>
      <c r="C53" s="36">
        <f t="shared" ca="1" si="1"/>
        <v>1</v>
      </c>
      <c r="D53" s="35">
        <v>2.0833333333333332E-2</v>
      </c>
    </row>
    <row r="54" spans="1:4">
      <c r="A54" s="25">
        <v>42325</v>
      </c>
      <c r="B54" t="s">
        <v>130</v>
      </c>
      <c r="C54" s="36">
        <f t="shared" ca="1" si="1"/>
        <v>1</v>
      </c>
      <c r="D54" s="35">
        <v>3.125E-2</v>
      </c>
    </row>
    <row r="55" spans="1:4">
      <c r="A55" s="25">
        <v>42325</v>
      </c>
      <c r="B55" t="s">
        <v>159</v>
      </c>
      <c r="C55" s="36">
        <f t="shared" ca="1" si="1"/>
        <v>1</v>
      </c>
      <c r="D55" s="35">
        <v>4.1666666666666664E-2</v>
      </c>
    </row>
    <row r="56" spans="1:4">
      <c r="A56" s="25">
        <v>42326</v>
      </c>
      <c r="B56" t="s">
        <v>117</v>
      </c>
      <c r="C56" s="36">
        <f t="shared" ca="1" si="1"/>
        <v>0</v>
      </c>
      <c r="D56" s="35">
        <v>3.125E-2</v>
      </c>
    </row>
    <row r="57" spans="1:4">
      <c r="A57" s="25">
        <v>42326</v>
      </c>
      <c r="B57" t="s">
        <v>86</v>
      </c>
      <c r="C57" s="36">
        <f t="shared" ca="1" si="1"/>
        <v>0</v>
      </c>
      <c r="D57" s="35">
        <v>2.0833333333333332E-2</v>
      </c>
    </row>
    <row r="69" spans="1:26">
      <c r="G69" s="35" t="s">
        <v>119</v>
      </c>
      <c r="H69" s="36" t="s">
        <v>120</v>
      </c>
      <c r="I69" s="36"/>
    </row>
    <row r="70" spans="1:26">
      <c r="G70" s="35">
        <f ca="1">SUMIF(C:C,0,D:D)</f>
        <v>5.2083333333333329E-2</v>
      </c>
      <c r="H70" s="39" t="str">
        <f ca="1">INDEX(学习总体!C:C,RANDBETWEEN(2,COUNTIF(学习总体!D:D,学习总体!D5)+1))</f>
        <v>高等数学（一）-中国大学MOOC</v>
      </c>
      <c r="I70" s="36"/>
    </row>
    <row r="72" spans="1:26" s="53" customFormat="1">
      <c r="A72" s="52"/>
      <c r="B72" s="49" t="s">
        <v>156</v>
      </c>
      <c r="C72" s="54" t="s">
        <v>147</v>
      </c>
      <c r="D72" s="50"/>
      <c r="E72" s="50"/>
      <c r="F72" s="50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s="56" customFormat="1">
      <c r="B73" s="57" t="s">
        <v>145</v>
      </c>
      <c r="C73" s="58">
        <v>42326</v>
      </c>
      <c r="D73" s="58">
        <v>42325</v>
      </c>
      <c r="E73" s="58">
        <v>42324</v>
      </c>
      <c r="F73" s="58">
        <v>42323</v>
      </c>
    </row>
    <row r="74" spans="1:26">
      <c r="B74" s="55" t="s">
        <v>130</v>
      </c>
      <c r="C74" s="35"/>
      <c r="D74" s="35">
        <v>3.125E-2</v>
      </c>
      <c r="E74" s="35">
        <v>4.1666666666666664E-2</v>
      </c>
      <c r="F74" s="35"/>
      <c r="G74"/>
      <c r="H74"/>
      <c r="I74"/>
      <c r="J74"/>
    </row>
    <row r="75" spans="1:26">
      <c r="B75" s="55" t="s">
        <v>153</v>
      </c>
      <c r="C75" s="35"/>
      <c r="E75" s="35">
        <v>6.25E-2</v>
      </c>
      <c r="F75" s="35">
        <v>8.3333333333333329E-2</v>
      </c>
      <c r="G75"/>
      <c r="H75"/>
      <c r="I75"/>
      <c r="J75"/>
    </row>
    <row r="76" spans="1:26">
      <c r="B76" s="55" t="s">
        <v>117</v>
      </c>
      <c r="C76" s="35">
        <v>3.125E-2</v>
      </c>
      <c r="D76" s="35">
        <v>3.125E-2</v>
      </c>
      <c r="E76" s="35">
        <v>2.0833333333333332E-2</v>
      </c>
      <c r="F76" s="35"/>
      <c r="G76"/>
      <c r="H76"/>
      <c r="I76"/>
      <c r="J76"/>
    </row>
    <row r="77" spans="1:26">
      <c r="B77" s="55" t="s">
        <v>86</v>
      </c>
      <c r="C77" s="35">
        <v>2.0833333333333332E-2</v>
      </c>
      <c r="D77" s="35">
        <v>2.0833333333333332E-2</v>
      </c>
      <c r="E77" s="35">
        <v>2.0833333333333332E-2</v>
      </c>
      <c r="F77" s="35"/>
      <c r="G77"/>
      <c r="H77"/>
      <c r="I77"/>
      <c r="J77"/>
    </row>
    <row r="78" spans="1:26">
      <c r="B78" s="55" t="s">
        <v>159</v>
      </c>
      <c r="C78" s="35"/>
      <c r="D78" s="35">
        <v>4.1666666666666664E-2</v>
      </c>
      <c r="E78" s="35"/>
      <c r="F78" s="35"/>
      <c r="G78"/>
      <c r="H78"/>
      <c r="I78"/>
      <c r="J78"/>
    </row>
    <row r="79" spans="1:26">
      <c r="B79" s="51" t="s">
        <v>146</v>
      </c>
      <c r="C79" s="35">
        <v>5.2083333333333329E-2</v>
      </c>
      <c r="D79" s="35">
        <v>0.125</v>
      </c>
      <c r="E79" s="35">
        <v>0.14583333333333331</v>
      </c>
      <c r="F79" s="35">
        <v>8.3333333333333329E-2</v>
      </c>
      <c r="G79"/>
      <c r="H79"/>
      <c r="I79"/>
      <c r="J79"/>
    </row>
    <row r="80" spans="1:26">
      <c r="C80"/>
      <c r="D80"/>
      <c r="E80"/>
      <c r="F80"/>
      <c r="G80"/>
      <c r="H80"/>
      <c r="I80"/>
      <c r="J80"/>
    </row>
    <row r="81" spans="3:10">
      <c r="C81"/>
      <c r="D81"/>
      <c r="E81"/>
      <c r="F81"/>
      <c r="G81"/>
      <c r="H81"/>
      <c r="I81"/>
      <c r="J81"/>
    </row>
    <row r="82" spans="3:10">
      <c r="C82"/>
      <c r="D82"/>
      <c r="E82"/>
      <c r="F82"/>
      <c r="G82"/>
      <c r="H82"/>
      <c r="I82"/>
      <c r="J82"/>
    </row>
    <row r="83" spans="3:10">
      <c r="C83"/>
      <c r="D83"/>
      <c r="E83"/>
      <c r="F83"/>
      <c r="G83"/>
      <c r="H83"/>
      <c r="I83"/>
      <c r="J83"/>
    </row>
    <row r="84" spans="3:10">
      <c r="C84"/>
      <c r="D84"/>
      <c r="E84"/>
      <c r="F84"/>
      <c r="G84"/>
      <c r="H84"/>
      <c r="I84"/>
      <c r="J84"/>
    </row>
    <row r="85" spans="3:10">
      <c r="C85"/>
      <c r="D85"/>
      <c r="E85"/>
      <c r="F85"/>
      <c r="G85"/>
      <c r="H85"/>
      <c r="I85"/>
      <c r="J85"/>
    </row>
    <row r="86" spans="3:10">
      <c r="C86"/>
      <c r="D86"/>
      <c r="E86"/>
      <c r="F86"/>
      <c r="G86"/>
      <c r="H86"/>
      <c r="I86"/>
      <c r="J86"/>
    </row>
    <row r="87" spans="3:10">
      <c r="C87"/>
      <c r="D87"/>
      <c r="E87"/>
      <c r="F87"/>
      <c r="G87"/>
      <c r="H87"/>
      <c r="I87"/>
      <c r="J87"/>
    </row>
    <row r="88" spans="3:10">
      <c r="C88"/>
      <c r="D88"/>
      <c r="E88"/>
      <c r="F88"/>
      <c r="G88"/>
      <c r="H88"/>
      <c r="I88"/>
      <c r="J88"/>
    </row>
    <row r="89" spans="3:10">
      <c r="I89"/>
      <c r="J89"/>
    </row>
    <row r="90" spans="3:10">
      <c r="I90"/>
      <c r="J90"/>
    </row>
    <row r="91" spans="3:10">
      <c r="I91"/>
      <c r="J91"/>
    </row>
    <row r="92" spans="3:10">
      <c r="I92"/>
      <c r="J92"/>
    </row>
    <row r="93" spans="3:10">
      <c r="I93"/>
      <c r="J93"/>
    </row>
    <row r="94" spans="3:10">
      <c r="I94"/>
      <c r="J94"/>
    </row>
    <row r="95" spans="3:10">
      <c r="I95"/>
      <c r="J95"/>
    </row>
    <row r="96" spans="3:10">
      <c r="I96"/>
      <c r="J96"/>
    </row>
    <row r="97" spans="9:10">
      <c r="I97"/>
      <c r="J97"/>
    </row>
  </sheetData>
  <phoneticPr fontId="4" type="noConversion"/>
  <conditionalFormatting sqref="A1:G68 A72:A78 G72:G73 A71:G71 A69:F70 A79:B88 A89:G1048576">
    <cfRule type="expression" dxfId="39" priority="1">
      <formula>$A1=TODAY()-1</formula>
    </cfRule>
    <cfRule type="expression" dxfId="38" priority="2">
      <formula>$A1=TODAY()</formula>
    </cfRule>
  </conditionalFormatting>
  <pageMargins left="0.75" right="0.75" top="1" bottom="1" header="0.51180555555555596" footer="0.51180555555555596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B1:B71 B89:B1048576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topLeftCell="A5" workbookViewId="0">
      <selection activeCell="D16" sqref="D16"/>
    </sheetView>
  </sheetViews>
  <sheetFormatPr defaultRowHeight="13.5"/>
  <cols>
    <col min="1" max="1" width="18.375" style="42" bestFit="1" customWidth="1"/>
    <col min="3" max="3" width="9" style="46"/>
    <col min="4" max="4" width="9" style="43"/>
    <col min="6" max="6" width="16.5" customWidth="1"/>
    <col min="7" max="7" width="9.125" style="43" customWidth="1"/>
    <col min="8" max="8" width="5.25" customWidth="1"/>
    <col min="9" max="10" width="9" customWidth="1"/>
    <col min="11" max="11" width="5.25" customWidth="1"/>
    <col min="12" max="12" width="5.75" customWidth="1"/>
    <col min="13" max="14" width="9.75" bestFit="1" customWidth="1"/>
    <col min="15" max="15" width="5.75" customWidth="1"/>
  </cols>
  <sheetData>
    <row r="1" spans="1:15">
      <c r="A1" s="41" t="s">
        <v>136</v>
      </c>
      <c r="B1" s="40" t="s">
        <v>135</v>
      </c>
      <c r="C1" s="46" t="s">
        <v>152</v>
      </c>
      <c r="D1" s="44" t="s">
        <v>137</v>
      </c>
    </row>
    <row r="2" spans="1:15">
      <c r="A2" s="42">
        <v>42323.902083333334</v>
      </c>
      <c r="B2" t="s">
        <v>140</v>
      </c>
      <c r="C2" s="46">
        <f ca="1">ROUNDUP(TODAY()-A2,0)</f>
        <v>3</v>
      </c>
      <c r="D2" s="43">
        <v>30</v>
      </c>
    </row>
    <row r="3" spans="1:15">
      <c r="A3" s="42">
        <v>42323.90347222222</v>
      </c>
      <c r="B3" t="s">
        <v>141</v>
      </c>
      <c r="C3" s="46">
        <f t="shared" ref="C3:C16" ca="1" si="0">ROUNDUP(TODAY()-A3,0)</f>
        <v>3</v>
      </c>
      <c r="D3" s="43">
        <v>50</v>
      </c>
    </row>
    <row r="4" spans="1:15">
      <c r="A4" s="42">
        <v>42323.904860995368</v>
      </c>
      <c r="B4" t="s">
        <v>138</v>
      </c>
      <c r="C4" s="46">
        <f t="shared" ca="1" si="0"/>
        <v>3</v>
      </c>
      <c r="D4" s="43">
        <v>13</v>
      </c>
    </row>
    <row r="5" spans="1:15">
      <c r="A5" s="42">
        <v>42323.906249826388</v>
      </c>
      <c r="B5" t="s">
        <v>139</v>
      </c>
      <c r="C5" s="46">
        <f t="shared" ca="1" si="0"/>
        <v>3</v>
      </c>
      <c r="D5" s="43">
        <v>10</v>
      </c>
    </row>
    <row r="6" spans="1:15">
      <c r="A6" s="42">
        <v>42323.907638657409</v>
      </c>
      <c r="B6" t="s">
        <v>140</v>
      </c>
      <c r="C6" s="46">
        <f t="shared" ca="1" si="0"/>
        <v>3</v>
      </c>
      <c r="D6" s="43">
        <v>30</v>
      </c>
    </row>
    <row r="7" spans="1:15">
      <c r="A7" s="42">
        <v>42323.909027488429</v>
      </c>
      <c r="B7" t="s">
        <v>141</v>
      </c>
      <c r="C7" s="46">
        <f t="shared" ca="1" si="0"/>
        <v>3</v>
      </c>
      <c r="D7" s="43">
        <v>45</v>
      </c>
    </row>
    <row r="8" spans="1:15">
      <c r="A8" s="42">
        <v>42323.918055555558</v>
      </c>
      <c r="B8" t="s">
        <v>138</v>
      </c>
      <c r="C8" s="46">
        <f t="shared" ca="1" si="0"/>
        <v>3</v>
      </c>
      <c r="D8" s="43">
        <v>20</v>
      </c>
    </row>
    <row r="9" spans="1:15">
      <c r="A9" s="42">
        <v>42323.925000000003</v>
      </c>
      <c r="B9" t="s">
        <v>139</v>
      </c>
      <c r="C9" s="46">
        <f t="shared" ca="1" si="0"/>
        <v>3</v>
      </c>
      <c r="D9" s="43">
        <v>15</v>
      </c>
    </row>
    <row r="10" spans="1:15">
      <c r="A10" s="42">
        <v>42325</v>
      </c>
      <c r="B10" t="s">
        <v>139</v>
      </c>
      <c r="C10" s="46">
        <f t="shared" ca="1" si="0"/>
        <v>1</v>
      </c>
      <c r="D10" s="43">
        <v>20</v>
      </c>
    </row>
    <row r="11" spans="1:15">
      <c r="A11" s="42">
        <v>42325</v>
      </c>
      <c r="B11" t="s">
        <v>139</v>
      </c>
      <c r="C11" s="46">
        <f t="shared" ca="1" si="0"/>
        <v>1</v>
      </c>
      <c r="D11" s="43">
        <v>15</v>
      </c>
    </row>
    <row r="12" spans="1:15">
      <c r="A12" s="42">
        <v>42325.993055555555</v>
      </c>
      <c r="B12" t="s">
        <v>141</v>
      </c>
      <c r="C12" s="46">
        <f t="shared" ca="1" si="0"/>
        <v>1</v>
      </c>
      <c r="D12" s="43">
        <v>35</v>
      </c>
    </row>
    <row r="13" spans="1:15">
      <c r="A13" s="42">
        <v>42325.993055555555</v>
      </c>
      <c r="B13" t="s">
        <v>138</v>
      </c>
      <c r="C13" s="46">
        <f t="shared" ca="1" si="0"/>
        <v>1</v>
      </c>
      <c r="D13" s="43">
        <v>20</v>
      </c>
    </row>
    <row r="14" spans="1:15">
      <c r="A14" s="42">
        <v>42325.993055555555</v>
      </c>
      <c r="B14" t="s">
        <v>139</v>
      </c>
      <c r="C14" s="46">
        <f t="shared" ca="1" si="0"/>
        <v>1</v>
      </c>
      <c r="D14" s="43">
        <v>15</v>
      </c>
    </row>
    <row r="15" spans="1:15">
      <c r="A15" s="42">
        <v>42325.993055555555</v>
      </c>
      <c r="B15" t="s">
        <v>140</v>
      </c>
      <c r="C15" s="46">
        <f t="shared" ca="1" si="0"/>
        <v>1</v>
      </c>
      <c r="D15" s="43">
        <v>35</v>
      </c>
      <c r="J15" s="43"/>
      <c r="K15" s="43"/>
      <c r="L15" s="43"/>
      <c r="M15" s="43"/>
      <c r="N15" s="43"/>
      <c r="O15" s="43"/>
    </row>
    <row r="16" spans="1:15">
      <c r="A16" s="42">
        <v>42326.709027777775</v>
      </c>
      <c r="B16" t="s">
        <v>161</v>
      </c>
      <c r="C16" s="46">
        <f t="shared" ca="1" si="0"/>
        <v>-1</v>
      </c>
      <c r="D16" s="43">
        <v>1</v>
      </c>
      <c r="J16" s="43"/>
      <c r="K16" s="43"/>
      <c r="L16" s="43"/>
      <c r="M16" s="43"/>
      <c r="N16" s="43"/>
      <c r="O16" s="43"/>
    </row>
    <row r="17" spans="6:15">
      <c r="J17" s="39"/>
      <c r="K17" s="43"/>
      <c r="L17" s="43"/>
      <c r="M17" s="43"/>
      <c r="N17" s="43"/>
      <c r="O17" s="43"/>
    </row>
    <row r="18" spans="6:15">
      <c r="F18" s="45" t="s">
        <v>148</v>
      </c>
      <c r="G18" s="45" t="s">
        <v>147</v>
      </c>
      <c r="H18" s="43"/>
      <c r="I18" s="43"/>
      <c r="J18" s="43"/>
      <c r="K18" s="43"/>
      <c r="L18" s="43"/>
      <c r="M18" s="43"/>
      <c r="N18" s="43"/>
      <c r="O18" s="43"/>
    </row>
    <row r="19" spans="6:15">
      <c r="F19" s="45" t="s">
        <v>145</v>
      </c>
      <c r="G19" s="43" t="s">
        <v>139</v>
      </c>
      <c r="H19" s="43" t="s">
        <v>140</v>
      </c>
      <c r="I19" s="43" t="s">
        <v>141</v>
      </c>
      <c r="J19" s="43" t="s">
        <v>138</v>
      </c>
      <c r="K19" s="43" t="s">
        <v>146</v>
      </c>
    </row>
    <row r="20" spans="6:15">
      <c r="F20" s="39" t="s">
        <v>149</v>
      </c>
      <c r="G20" s="43">
        <v>25</v>
      </c>
      <c r="H20" s="43">
        <v>60</v>
      </c>
      <c r="I20" s="43">
        <v>95</v>
      </c>
      <c r="J20" s="43">
        <v>33</v>
      </c>
      <c r="K20" s="43">
        <v>213</v>
      </c>
    </row>
    <row r="21" spans="6:15">
      <c r="F21" s="39" t="s">
        <v>157</v>
      </c>
      <c r="G21" s="43">
        <v>50</v>
      </c>
      <c r="H21" s="43">
        <v>35</v>
      </c>
      <c r="I21" s="43">
        <v>35</v>
      </c>
      <c r="J21" s="43">
        <v>20</v>
      </c>
      <c r="K21" s="43">
        <v>140</v>
      </c>
    </row>
    <row r="22" spans="6:15">
      <c r="F22" s="39" t="s">
        <v>146</v>
      </c>
      <c r="G22" s="43">
        <v>75</v>
      </c>
      <c r="H22" s="43">
        <v>95</v>
      </c>
      <c r="I22" s="43">
        <v>130</v>
      </c>
      <c r="J22" s="43">
        <v>53</v>
      </c>
      <c r="K22" s="43">
        <v>353</v>
      </c>
    </row>
    <row r="23" spans="6:15">
      <c r="G23"/>
    </row>
    <row r="24" spans="6:15">
      <c r="G24"/>
    </row>
    <row r="25" spans="6:15">
      <c r="G25"/>
    </row>
    <row r="26" spans="6:15">
      <c r="G26"/>
    </row>
    <row r="27" spans="6:15">
      <c r="G27"/>
    </row>
    <row r="28" spans="6:15">
      <c r="G28"/>
    </row>
    <row r="29" spans="6:15">
      <c r="G29"/>
    </row>
    <row r="30" spans="6:15">
      <c r="G30"/>
    </row>
    <row r="31" spans="6:15">
      <c r="G31"/>
    </row>
    <row r="32" spans="6:15">
      <c r="G32"/>
    </row>
    <row r="33" spans="7:7">
      <c r="G33"/>
    </row>
    <row r="34" spans="7:7">
      <c r="G34"/>
    </row>
    <row r="35" spans="7:7">
      <c r="G35"/>
    </row>
  </sheetData>
  <phoneticPr fontId="10" type="noConversion"/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2015-11-18T09:02:35Z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