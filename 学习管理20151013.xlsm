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  <sheet name="Sheet1" sheetId="6" r:id="rId6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5" r:id="rId7"/>
    <pivotCache cacheId="10" r:id="rId8"/>
  </pivotCaches>
</workbook>
</file>

<file path=xl/calcChain.xml><?xml version="1.0" encoding="utf-8"?>
<calcChain xmlns="http://schemas.openxmlformats.org/spreadsheetml/2006/main">
  <c r="D423" i="5" l="1"/>
  <c r="D424" i="5"/>
  <c r="D425" i="5"/>
  <c r="D426" i="5"/>
  <c r="D427" i="5"/>
  <c r="D428" i="5"/>
  <c r="D429" i="5"/>
  <c r="D430" i="5"/>
  <c r="D431" i="5"/>
  <c r="D432" i="5"/>
  <c r="D433" i="5"/>
  <c r="E423" i="5"/>
  <c r="E424" i="5"/>
  <c r="E425" i="5"/>
  <c r="E426" i="5"/>
  <c r="E427" i="5"/>
  <c r="E428" i="5"/>
  <c r="E429" i="5"/>
  <c r="E430" i="5"/>
  <c r="E431" i="5"/>
  <c r="E432" i="5"/>
  <c r="E433" i="5"/>
  <c r="D422" i="5"/>
  <c r="E422" i="5"/>
  <c r="D421" i="5"/>
  <c r="E421" i="5"/>
  <c r="D420" i="5"/>
  <c r="E420" i="5"/>
  <c r="D418" i="5"/>
  <c r="D419" i="5"/>
  <c r="E418" i="5"/>
  <c r="E419" i="5"/>
  <c r="D417" i="5"/>
  <c r="E417" i="5"/>
  <c r="D412" i="5"/>
  <c r="D413" i="5"/>
  <c r="D414" i="5"/>
  <c r="D415" i="5"/>
  <c r="D416" i="5"/>
  <c r="E412" i="5"/>
  <c r="E413" i="5"/>
  <c r="E414" i="5"/>
  <c r="E415" i="5"/>
  <c r="E416" i="5"/>
  <c r="D411" i="5" l="1"/>
  <c r="E411" i="5"/>
  <c r="D410" i="5"/>
  <c r="E410" i="5"/>
  <c r="D403" i="5"/>
  <c r="D404" i="5"/>
  <c r="D405" i="5"/>
  <c r="D406" i="5"/>
  <c r="D407" i="5"/>
  <c r="D408" i="5"/>
  <c r="D409" i="5"/>
  <c r="E403" i="5"/>
  <c r="E404" i="5"/>
  <c r="E405" i="5"/>
  <c r="E406" i="5"/>
  <c r="E407" i="5"/>
  <c r="E408" i="5"/>
  <c r="E409" i="5"/>
  <c r="D402" i="5"/>
  <c r="E402" i="5"/>
  <c r="D398" i="5" l="1"/>
  <c r="D399" i="5"/>
  <c r="D400" i="5"/>
  <c r="D401" i="5"/>
  <c r="E398" i="5"/>
  <c r="E399" i="5"/>
  <c r="E400" i="5"/>
  <c r="E401" i="5"/>
  <c r="D390" i="5"/>
  <c r="D391" i="5"/>
  <c r="D392" i="5"/>
  <c r="D393" i="5"/>
  <c r="D394" i="5"/>
  <c r="D395" i="5"/>
  <c r="D396" i="5"/>
  <c r="D397" i="5"/>
  <c r="E390" i="5"/>
  <c r="E391" i="5"/>
  <c r="E392" i="5"/>
  <c r="E393" i="5"/>
  <c r="E394" i="5"/>
  <c r="E395" i="5"/>
  <c r="E396" i="5"/>
  <c r="E397" i="5"/>
  <c r="D388" i="5"/>
  <c r="D389" i="5"/>
  <c r="E388" i="5"/>
  <c r="E389" i="5"/>
  <c r="D387" i="5"/>
  <c r="E387" i="5"/>
  <c r="D383" i="5"/>
  <c r="D384" i="5"/>
  <c r="D385" i="5"/>
  <c r="D386" i="5"/>
  <c r="E383" i="5"/>
  <c r="E384" i="5"/>
  <c r="E385" i="5"/>
  <c r="E386" i="5"/>
  <c r="D382" i="5" l="1"/>
  <c r="E382" i="5"/>
  <c r="D380" i="5"/>
  <c r="D381" i="5"/>
  <c r="E380" i="5"/>
  <c r="E381" i="5"/>
  <c r="D379" i="5"/>
  <c r="E379" i="5"/>
  <c r="D372" i="5" l="1"/>
  <c r="D373" i="5"/>
  <c r="D374" i="5"/>
  <c r="D375" i="5"/>
  <c r="D376" i="5"/>
  <c r="D377" i="5"/>
  <c r="D378" i="5"/>
  <c r="E372" i="5"/>
  <c r="E373" i="5"/>
  <c r="E374" i="5"/>
  <c r="E375" i="5"/>
  <c r="E376" i="5"/>
  <c r="E377" i="5"/>
  <c r="E378" i="5"/>
  <c r="D371" i="5"/>
  <c r="E371" i="5"/>
  <c r="D370" i="5"/>
  <c r="E370" i="5"/>
  <c r="D362" i="5"/>
  <c r="D363" i="5"/>
  <c r="D364" i="5"/>
  <c r="D365" i="5"/>
  <c r="D366" i="5"/>
  <c r="D367" i="5"/>
  <c r="D368" i="5"/>
  <c r="D369" i="5"/>
  <c r="E362" i="5"/>
  <c r="E363" i="5"/>
  <c r="E364" i="5"/>
  <c r="E365" i="5"/>
  <c r="E366" i="5"/>
  <c r="E367" i="5"/>
  <c r="E368" i="5"/>
  <c r="E369" i="5"/>
  <c r="D361" i="5"/>
  <c r="E361" i="5"/>
  <c r="D360" i="5"/>
  <c r="E360" i="5"/>
  <c r="D359" i="5"/>
  <c r="E359" i="5"/>
  <c r="D358" i="5"/>
  <c r="E358" i="5"/>
  <c r="D354" i="5"/>
  <c r="D355" i="5"/>
  <c r="D356" i="5"/>
  <c r="D357" i="5"/>
  <c r="E354" i="5"/>
  <c r="E355" i="5"/>
  <c r="E356" i="5"/>
  <c r="E357" i="5"/>
  <c r="D353" i="5" l="1"/>
  <c r="E353" i="5"/>
  <c r="D352" i="5"/>
  <c r="E352" i="5"/>
  <c r="E342" i="5" l="1"/>
  <c r="E343" i="5"/>
  <c r="E344" i="5"/>
  <c r="E345" i="5"/>
  <c r="E346" i="5"/>
  <c r="E347" i="5"/>
  <c r="E348" i="5"/>
  <c r="E349" i="5"/>
  <c r="E350" i="5"/>
  <c r="E351" i="5"/>
  <c r="D342" i="5"/>
  <c r="D343" i="5"/>
  <c r="D344" i="5"/>
  <c r="D345" i="5"/>
  <c r="D346" i="5"/>
  <c r="D347" i="5"/>
  <c r="D348" i="5"/>
  <c r="D349" i="5"/>
  <c r="D350" i="5"/>
  <c r="D351" i="5"/>
  <c r="D337" i="5" l="1"/>
  <c r="E337" i="5"/>
  <c r="D338" i="5"/>
  <c r="E338" i="5"/>
  <c r="D339" i="5"/>
  <c r="E339" i="5"/>
  <c r="D340" i="5"/>
  <c r="E340" i="5"/>
  <c r="D341" i="5"/>
  <c r="E341" i="5"/>
  <c r="D336" i="5"/>
  <c r="E336" i="5"/>
  <c r="D333" i="5" l="1"/>
  <c r="D334" i="5"/>
  <c r="D335" i="5"/>
  <c r="E333" i="5"/>
  <c r="E334" i="5"/>
  <c r="E335" i="5"/>
  <c r="D332" i="5"/>
  <c r="E332" i="5"/>
  <c r="D330" i="5" l="1"/>
  <c r="D331" i="5"/>
  <c r="E330" i="5"/>
  <c r="E331" i="5"/>
  <c r="D324" i="5"/>
  <c r="D325" i="5"/>
  <c r="D326" i="5"/>
  <c r="D327" i="5"/>
  <c r="D328" i="5"/>
  <c r="D329" i="5"/>
  <c r="E324" i="5"/>
  <c r="E325" i="5"/>
  <c r="E326" i="5"/>
  <c r="E327" i="5"/>
  <c r="E328" i="5"/>
  <c r="E329" i="5"/>
  <c r="D318" i="5"/>
  <c r="D319" i="5"/>
  <c r="D320" i="5"/>
  <c r="D321" i="5"/>
  <c r="D322" i="5"/>
  <c r="D323" i="5"/>
  <c r="E318" i="5"/>
  <c r="E319" i="5"/>
  <c r="E320" i="5"/>
  <c r="E321" i="5"/>
  <c r="E322" i="5"/>
  <c r="E323" i="5"/>
  <c r="D316" i="5" l="1"/>
  <c r="D317" i="5"/>
  <c r="E316" i="5"/>
  <c r="E317" i="5"/>
  <c r="D312" i="5"/>
  <c r="D313" i="5"/>
  <c r="D314" i="5"/>
  <c r="D315" i="5"/>
  <c r="E312" i="5"/>
  <c r="E313" i="5"/>
  <c r="E314" i="5"/>
  <c r="E315" i="5"/>
  <c r="D311" i="5" l="1"/>
  <c r="E311" i="5"/>
  <c r="D310" i="5" l="1"/>
  <c r="E310" i="5"/>
  <c r="D309" i="5" l="1"/>
  <c r="E309" i="5"/>
  <c r="D308" i="5" l="1"/>
  <c r="E308" i="5"/>
  <c r="D307" i="5"/>
  <c r="E307" i="5"/>
  <c r="D296" i="5" l="1"/>
  <c r="D297" i="5"/>
  <c r="D298" i="5"/>
  <c r="D299" i="5"/>
  <c r="D300" i="5"/>
  <c r="D301" i="5"/>
  <c r="D302" i="5"/>
  <c r="D303" i="5"/>
  <c r="D304" i="5"/>
  <c r="D305" i="5"/>
  <c r="D306" i="5"/>
  <c r="E296" i="5"/>
  <c r="E297" i="5"/>
  <c r="E298" i="5"/>
  <c r="E299" i="5"/>
  <c r="E300" i="5"/>
  <c r="E301" i="5"/>
  <c r="E302" i="5"/>
  <c r="E303" i="5"/>
  <c r="E304" i="5"/>
  <c r="E305" i="5"/>
  <c r="E306" i="5"/>
  <c r="D295" i="5"/>
  <c r="E295" i="5"/>
  <c r="D294" i="5"/>
  <c r="E294" i="5"/>
  <c r="D291" i="5"/>
  <c r="D292" i="5"/>
  <c r="D293" i="5"/>
  <c r="E291" i="5"/>
  <c r="E292" i="5"/>
  <c r="E293" i="5"/>
  <c r="D285" i="5"/>
  <c r="D286" i="5"/>
  <c r="D287" i="5"/>
  <c r="D288" i="5"/>
  <c r="D289" i="5"/>
  <c r="D290" i="5"/>
  <c r="E285" i="5"/>
  <c r="E286" i="5"/>
  <c r="E287" i="5"/>
  <c r="E288" i="5"/>
  <c r="E289" i="5"/>
  <c r="E290" i="5"/>
  <c r="D280" i="5" l="1"/>
  <c r="D281" i="5"/>
  <c r="D282" i="5"/>
  <c r="D283" i="5"/>
  <c r="D284" i="5"/>
  <c r="E280" i="5"/>
  <c r="E281" i="5"/>
  <c r="E282" i="5"/>
  <c r="E283" i="5"/>
  <c r="E284" i="5"/>
  <c r="D279" i="5"/>
  <c r="E279" i="5"/>
  <c r="D278" i="5"/>
  <c r="E278" i="5"/>
  <c r="D276" i="5"/>
  <c r="D277" i="5"/>
  <c r="E276" i="5"/>
  <c r="E277" i="5"/>
  <c r="D274" i="5"/>
  <c r="D275" i="5"/>
  <c r="E274" i="5"/>
  <c r="E275" i="5"/>
  <c r="D265" i="5" l="1"/>
  <c r="D266" i="5"/>
  <c r="D267" i="5"/>
  <c r="D268" i="5"/>
  <c r="D269" i="5"/>
  <c r="D270" i="5"/>
  <c r="D271" i="5"/>
  <c r="D272" i="5"/>
  <c r="D273" i="5"/>
  <c r="E265" i="5"/>
  <c r="E266" i="5"/>
  <c r="E267" i="5"/>
  <c r="E268" i="5"/>
  <c r="E269" i="5"/>
  <c r="E270" i="5"/>
  <c r="E271" i="5"/>
  <c r="E272" i="5"/>
  <c r="E273" i="5"/>
  <c r="D260" i="5"/>
  <c r="D261" i="5"/>
  <c r="D262" i="5"/>
  <c r="D263" i="5"/>
  <c r="D264" i="5"/>
  <c r="E260" i="5"/>
  <c r="E261" i="5"/>
  <c r="E262" i="5"/>
  <c r="E263" i="5"/>
  <c r="E264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D247" i="5"/>
  <c r="E247" i="5"/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<sst xmlns="http://schemas.openxmlformats.org/spreadsheetml/2006/main" count="927" uniqueCount="287">
  <si>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</si>
  <si>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</si>
  <si>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</si>
  <si>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</si>
  <si>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</si>
  <si>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</si>
  <si>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</si>
  <si>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</si>
  <si>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</si>
  <si>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</si>
  <si>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</si>
  <si>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</si>
  <si>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</si>
  <si>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</si>
  <si>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</si>
  <si>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</si>
  <si>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</si>
  <si>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</si>
  <si>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</si>
  <si>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</si>
  <si>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</si>
  <si>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</si>
  <si>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</si>
  <si>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</si>
  <si>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</si>
  <si>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</si>
  <si>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</si>
  <si>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</si>
  <si>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</si>
  <si>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</si>
  <si>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</si>
  <si>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</si>
  <si>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</si>
  <si>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</si>
  <si>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</si>
  <si>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</si>
  <si>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</si>
  <si>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</si>
  <si>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</si>
  <si>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</si>
  <si>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</si>
  <si>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</si>
  <si>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</si>
  <si>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</si>
  <si>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</si>
  <si>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</si>
  <si>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</si>
  <si>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</si>
  <si>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</si>
  <si>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</si>
  <si>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</si>
  <si>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</si>
  <si>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</si>
  <si>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</si>
  <si>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</si>
  <si>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</si>
  <si>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</si>
  <si>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</si>
  <si>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</si>
  <si>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</si>
  <si>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</si>
  <si>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</si>
  <si>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</si>
  <si>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</si>
  <si>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</si>
  <si>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</si>
  <si>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</si>
  <si>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</si>
  <si>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</si>
  <si>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</si>
  <si>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</si>
  <si>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</si>
  <si>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</si>
  <si>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</si>
  <si>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</si>
  <si>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</si>
  <si>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</si>
  <si>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</si>
  <si>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</si>
  <si>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</si>
  <si>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</si>
  <si>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</si>
  <si>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</si>
  <si>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</si>
  <si>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</si>
  <si>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</si>
  <si>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</si>
  <si>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</si>
  <si>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</si>
  <si>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</si>
  <si>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</si>
  <si>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</si>
  <si>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</si>
  <si>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</si>
  <si>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</si>
  <si>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</si>
  <si>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</si>
  <si>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</si>
  <si>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</si>
  <si>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</si>
  <si>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</si>
  <si>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</si>
  <si>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</si>
  <si>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</si>
  <si>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</si>
  <si>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</si>
  <si>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</si>
  <si>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</si>
  <si>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</si>
  <si>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</si>
  <si>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</si>
  <si>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</si>
  <si>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</si>
  <si>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</si>
  <si>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</si>
  <si>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</si>
  <si>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</si>
  <si>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</si>
  <si>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</si>
  <si>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</si>
  <si>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</si>
  <si>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</si>
  <si>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</si>
  <si>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</si>
  <si>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</si>
  <si>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</si>
  <si>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</si>
  <si>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</si>
  <si>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</si>
  <si>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</si>
  <si>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</si>
  <si>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</si>
  <si>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</si>
  <si>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</si>
  <si>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</si>
  <si>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</si>
  <si>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</si>
  <si>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</si>
  <si>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</si>
  <si>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</si>
  <si>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</si>
  <si>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</si>
  <si>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</si>
  <si>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</si>
  <si>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</si>
  <si>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</si>
  <si>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</si>
  <si>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</si>
  <si>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</si>
  <si>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</si>
  <si>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</si>
  <si>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</si>
  <si>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</si>
  <si>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</si>
  <si>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</si>
  <si>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</si>
  <si>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</si>
  <si>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</si>
  <si>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</si>
  <si>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</si>
  <si>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</si>
  <si>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</si>
  <si>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</si>
  <si>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</si>
  <si>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</si>
  <si>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</si>
  <si>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</si>
  <si>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</si>
  <si>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</si>
  <si>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</si>
  <si>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</si>
  <si>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</si>
  <si>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</si>
  <si>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</si>
  <si>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</si>
  <si>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</si>
  <si>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</si>
  <si>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</si>
  <si>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</si>
  <si>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</si>
  <si>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</si>
  <si>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</si>
  <si>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</si>
  <si>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</si>
  <si>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</si>
  <si>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</si>
  <si>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</si>
  <si>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</si>
  <si>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</si>
  <si>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</si>
  <si>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</si>
  <si>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</si>
  <si>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</si>
  <si>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</si>
  <si>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</si>
  <si>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</si>
  <si>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</si>
  <si>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</si>
  <si>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</si>
  <si>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</si>
  <si>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</si>
  <si>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</si>
  <si>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</si>
  <si>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</si>
  <si>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</si>
  <si>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</si>
  <si>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</si>
  <si>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</si>
  <si>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</si>
  <si>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</si>
  <si>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</si>
  <si>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</si>
  <si>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</si>
  <si>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</si>
  <si>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</si>
  <si>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</si>
  <si>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</si>
  <si>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</si>
  <si>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</si>
  <si>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</si>
  <si>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</si>
  <si>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</si>
  <si>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</si>
  <si>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</si>
  <si>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</si>
  <si>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</si>
  <si>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</si>
  <si>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</si>
  <si>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</si>
  <si>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</si>
  <si>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  <phoneticPr fontId="10" type="noConversion"/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</si>
  <si>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</si>
  <si>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</si>
  <si>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</si>
  <si>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</si>
  <si>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</si>
  <si>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</si>
  <si>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</si>
  <si>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Flask Mega Tutorial</t>
    <phoneticPr fontId="4" type="noConversion"/>
  </si>
  <si>
    <t>常用</t>
    <phoneticPr fontId="10" type="noConversion"/>
  </si>
  <si>
    <t>哑铃手腕举</t>
    <phoneticPr fontId="10" type="noConversion"/>
  </si>
  <si>
    <t>垂式弯举</t>
  </si>
  <si>
    <t>半蹲单臂弯举</t>
  </si>
  <si>
    <t>哑铃划船</t>
  </si>
  <si>
    <t>单臂哑铃划船</t>
  </si>
  <si>
    <t>跳绳</t>
    <phoneticPr fontId="10" type="noConversion"/>
  </si>
  <si>
    <t>跳绳</t>
    <phoneticPr fontId="10" type="noConversion"/>
  </si>
  <si>
    <t>跳绳</t>
  </si>
  <si>
    <t>Flask WD</t>
    <phoneticPr fontId="4" type="noConversion"/>
  </si>
  <si>
    <t>Flask MG</t>
    <phoneticPr fontId="4" type="noConversion"/>
  </si>
  <si>
    <t>PCI</t>
    <phoneticPr fontId="4" type="noConversion"/>
  </si>
  <si>
    <t xml:space="preserve">Flask Web Development </t>
  </si>
  <si>
    <t>Machine Learning in Action(机器学习实战)</t>
  </si>
  <si>
    <t>English</t>
  </si>
  <si>
    <t>New Concept English 3</t>
  </si>
  <si>
    <t>C</t>
  </si>
  <si>
    <t>Linux</t>
  </si>
  <si>
    <t>鸟哥的Linux私房菜(基础篇)</t>
  </si>
  <si>
    <t>Flask Mega Tutorial</t>
  </si>
  <si>
    <t>字帖-英语</t>
  </si>
  <si>
    <t>经济学-微观-初级</t>
  </si>
  <si>
    <t>math-advanced math</t>
  </si>
  <si>
    <t>TsinghuaX: 10421075X 微积分B(1)（2015秋）</t>
  </si>
  <si>
    <t>Khan academy 微积分</t>
  </si>
  <si>
    <t>VB.NET</t>
  </si>
  <si>
    <t>列1</t>
  </si>
  <si>
    <t>列2</t>
  </si>
  <si>
    <t>每日必练</t>
    <phoneticPr fontId="10" type="noConversion"/>
  </si>
  <si>
    <t>跳绳</t>
    <phoneticPr fontId="10" type="noConversion"/>
  </si>
  <si>
    <t>哑铃卧推</t>
  </si>
  <si>
    <t>哑铃飞鸟</t>
  </si>
  <si>
    <t>哑铃手腕举</t>
  </si>
  <si>
    <t>坐姿哑铃臂弯举</t>
  </si>
  <si>
    <t>哑铃弓步蹲</t>
  </si>
  <si>
    <t>仰卧起坐</t>
    <phoneticPr fontId="10" type="noConversion"/>
  </si>
  <si>
    <t>平板支撑</t>
    <phoneticPr fontId="10" type="noConversion"/>
  </si>
  <si>
    <t>触足屈腹</t>
  </si>
  <si>
    <t>交替蜷缩</t>
  </si>
  <si>
    <t>并掌穿梭</t>
  </si>
  <si>
    <t>四步收腹</t>
  </si>
  <si>
    <t>伸臂屈腹</t>
  </si>
  <si>
    <t>触腿屈腹</t>
  </si>
  <si>
    <t>交臂屈腹</t>
  </si>
  <si>
    <t>双重屈腹</t>
  </si>
  <si>
    <t>八分钟腹肌一级</t>
    <phoneticPr fontId="10" type="noConversion"/>
  </si>
  <si>
    <t>哑铃侧屈</t>
    <phoneticPr fontId="10" type="noConversion"/>
  </si>
  <si>
    <t>5月1日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</si>
</sst>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  <xf numFmtId="177" fontId="0" fillId="2" borderId="0" xfId="0" applyFill="1">
      <alignment vertical="center"/>
    </xf>
    <xf numFmtId="177" fontId="9" fillId="2" borderId="0" xfId="0" applyFont="1" applyFill="1">
      <alignment vertical="center"/>
    </xf>
    <xf numFmtId="177" fontId="0" fillId="2" borderId="0" xfId="0" applyFont="1" applyFill="1">
      <alignment vertical="center"/>
    </xf>
    <xf numFmtId="177" fontId="0" fillId="0" borderId="0" xfId="0" applyFill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2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2"/>
      <tableStyleElement type="headerRow" dxfId="121"/>
    </tableStyle>
    <tableStyle name="学习" table="0" count="12">
      <tableStyleElement type="wholeTable" dxfId="120"/>
      <tableStyleElement type="headerRow" dxfId="119"/>
      <tableStyleElement type="totalRow" dxfId="118"/>
      <tableStyleElement type="firstColumn" dxfId="117"/>
      <tableStyleElement type="secondRowStripe" dxfId="116"/>
      <tableStyleElement type="secondColumnStripe" dxfId="115"/>
      <tableStyleElement type="firstSubtotalColumn" dxfId="114"/>
      <tableStyleElement type="firstSubtotalRow" dxfId="113"/>
      <tableStyleElement type="firstRowSubheading" dxfId="112"/>
      <tableStyleElement type="secondRowSubheading" dxfId="111"/>
      <tableStyleElement type="pageFieldLabels" dxfId="110"/>
      <tableStyleElement type="pageFieldValues" dxfId="109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93.938287268516" createdVersion="6" refreshedVersion="6" minRefreshableVersion="3" recordCount="410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5-02T00:00:00" count="49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  <d v="2016-03-27T00:00:00"/>
        <d v="2016-03-28T00:00:00"/>
        <d v="2016-04-01T00:00:00"/>
        <d v="2016-04-02T00:00:00"/>
        <d v="2016-04-04T00:00:00"/>
        <d v="2016-04-05T00:00:00"/>
        <d v="2016-04-06T00:00:00"/>
        <d v="2016-04-07T00:00:00"/>
        <d v="2016-04-08T00:00:00"/>
        <d v="2016-04-09T00:00:00"/>
        <d v="2016-04-11T00:00:00"/>
        <d v="2016-04-13T00:00:00"/>
        <d v="2016-04-14T00:00:00"/>
        <d v="2016-04-16T00:00:00"/>
        <d v="2016-04-17T00:00:00"/>
        <d v="2016-04-18T00:00:00"/>
        <d v="2016-04-21T00:00:00"/>
        <d v="2016-04-26T00:00:00"/>
        <d v="2016-05-01T00:00:00"/>
      </sharedItems>
      <fieldGroup base="0">
        <rangePr groupBy="days" startDate="2015-11-15T00:00:00" endDate="2016-05-02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5-2"/>
        </groupItems>
      </fieldGroup>
    </cacheField>
    <cacheField name="项目" numFmtId="177">
      <sharedItems containsBlank="1" count="37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  <s v="跳绳"/>
        <m u="1"/>
      </sharedItems>
    </cacheField>
    <cacheField name="次数/时长" numFmtId="0">
      <sharedItems containsSemiMixedTypes="0" containsString="0" containsNumber="1" containsInteger="1" minValue="1" maxValue="550"/>
    </cacheField>
    <cacheField name="距离今天" numFmtId="180">
      <sharedItems containsSemiMixedTypes="0" containsString="0" containsNumber="1" containsInteger="1" minValue="2" maxValue="170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93.938288657409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59" maxValue="193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0">
  <r>
    <x v="0"/>
    <x v="0"/>
    <n v="30"/>
    <n v="170"/>
    <n v="2"/>
    <m/>
  </r>
  <r>
    <x v="0"/>
    <x v="1"/>
    <n v="50"/>
    <n v="170"/>
    <n v="2"/>
    <m/>
  </r>
  <r>
    <x v="0"/>
    <x v="2"/>
    <n v="13"/>
    <n v="170"/>
    <n v="2"/>
    <m/>
  </r>
  <r>
    <x v="0"/>
    <x v="3"/>
    <n v="10"/>
    <n v="170"/>
    <n v="2"/>
    <m/>
  </r>
  <r>
    <x v="0"/>
    <x v="0"/>
    <n v="30"/>
    <n v="170"/>
    <n v="2"/>
    <m/>
  </r>
  <r>
    <x v="0"/>
    <x v="1"/>
    <n v="45"/>
    <n v="170"/>
    <n v="2"/>
    <m/>
  </r>
  <r>
    <x v="0"/>
    <x v="2"/>
    <n v="20"/>
    <n v="170"/>
    <n v="2"/>
    <m/>
  </r>
  <r>
    <x v="0"/>
    <x v="3"/>
    <n v="15"/>
    <n v="170"/>
    <n v="2"/>
    <m/>
  </r>
  <r>
    <x v="1"/>
    <x v="3"/>
    <n v="20"/>
    <n v="168"/>
    <n v="3"/>
    <m/>
  </r>
  <r>
    <x v="1"/>
    <x v="3"/>
    <n v="15"/>
    <n v="168"/>
    <n v="3"/>
    <m/>
  </r>
  <r>
    <x v="1"/>
    <x v="1"/>
    <n v="35"/>
    <n v="168"/>
    <n v="1"/>
    <m/>
  </r>
  <r>
    <x v="1"/>
    <x v="2"/>
    <n v="20"/>
    <n v="168"/>
    <n v="1"/>
    <m/>
  </r>
  <r>
    <x v="1"/>
    <x v="3"/>
    <n v="15"/>
    <n v="168"/>
    <n v="3"/>
    <m/>
  </r>
  <r>
    <x v="1"/>
    <x v="0"/>
    <n v="35"/>
    <n v="168"/>
    <n v="1"/>
    <m/>
  </r>
  <r>
    <x v="2"/>
    <x v="4"/>
    <n v="1"/>
    <n v="167"/>
    <n v="1"/>
    <m/>
  </r>
  <r>
    <x v="3"/>
    <x v="4"/>
    <n v="1"/>
    <n v="166"/>
    <n v="1"/>
    <m/>
  </r>
  <r>
    <x v="3"/>
    <x v="3"/>
    <n v="15"/>
    <n v="166"/>
    <n v="1"/>
    <m/>
  </r>
  <r>
    <x v="4"/>
    <x v="3"/>
    <n v="10"/>
    <n v="165"/>
    <n v="3"/>
    <m/>
  </r>
  <r>
    <x v="4"/>
    <x v="3"/>
    <n v="15"/>
    <n v="165"/>
    <n v="3"/>
    <m/>
  </r>
  <r>
    <x v="4"/>
    <x v="3"/>
    <n v="16"/>
    <n v="165"/>
    <n v="3"/>
    <m/>
  </r>
  <r>
    <x v="5"/>
    <x v="5"/>
    <n v="10"/>
    <n v="163"/>
    <n v="5"/>
    <m/>
  </r>
  <r>
    <x v="5"/>
    <x v="5"/>
    <n v="10"/>
    <n v="163"/>
    <n v="5"/>
    <m/>
  </r>
  <r>
    <x v="5"/>
    <x v="5"/>
    <n v="10"/>
    <n v="163"/>
    <n v="5"/>
    <m/>
  </r>
  <r>
    <x v="5"/>
    <x v="5"/>
    <n v="10"/>
    <n v="163"/>
    <n v="5"/>
    <m/>
  </r>
  <r>
    <x v="5"/>
    <x v="5"/>
    <n v="10"/>
    <n v="163"/>
    <n v="5"/>
    <m/>
  </r>
  <r>
    <x v="6"/>
    <x v="4"/>
    <n v="1"/>
    <n v="162"/>
    <n v="1"/>
    <m/>
  </r>
  <r>
    <x v="6"/>
    <x v="3"/>
    <n v="17"/>
    <n v="162"/>
    <n v="1"/>
    <m/>
  </r>
  <r>
    <x v="6"/>
    <x v="5"/>
    <n v="20"/>
    <n v="162"/>
    <n v="1"/>
    <m/>
  </r>
  <r>
    <x v="7"/>
    <x v="5"/>
    <n v="10"/>
    <n v="161"/>
    <n v="1"/>
    <m/>
  </r>
  <r>
    <x v="7"/>
    <x v="3"/>
    <n v="15"/>
    <n v="161"/>
    <n v="2"/>
    <m/>
  </r>
  <r>
    <x v="7"/>
    <x v="3"/>
    <n v="18"/>
    <n v="161"/>
    <n v="2"/>
    <m/>
  </r>
  <r>
    <x v="8"/>
    <x v="3"/>
    <n v="15"/>
    <n v="160"/>
    <n v="1"/>
    <m/>
  </r>
  <r>
    <x v="9"/>
    <x v="1"/>
    <n v="30"/>
    <n v="158"/>
    <n v="2"/>
    <m/>
  </r>
  <r>
    <x v="9"/>
    <x v="0"/>
    <n v="40"/>
    <n v="158"/>
    <n v="2"/>
    <m/>
  </r>
  <r>
    <x v="9"/>
    <x v="6"/>
    <n v="60"/>
    <n v="158"/>
    <n v="1"/>
    <m/>
  </r>
  <r>
    <x v="9"/>
    <x v="3"/>
    <n v="15"/>
    <n v="158"/>
    <n v="1"/>
    <m/>
  </r>
  <r>
    <x v="9"/>
    <x v="1"/>
    <n v="40"/>
    <n v="158"/>
    <n v="2"/>
    <m/>
  </r>
  <r>
    <x v="9"/>
    <x v="0"/>
    <n v="40"/>
    <n v="158"/>
    <n v="2"/>
    <m/>
  </r>
  <r>
    <x v="10"/>
    <x v="0"/>
    <n v="30"/>
    <n v="157"/>
    <n v="1"/>
    <m/>
  </r>
  <r>
    <x v="10"/>
    <x v="1"/>
    <n v="35"/>
    <n v="157"/>
    <n v="1"/>
    <m/>
  </r>
  <r>
    <x v="11"/>
    <x v="3"/>
    <n v="15"/>
    <n v="155"/>
    <n v="2"/>
    <m/>
  </r>
  <r>
    <x v="11"/>
    <x v="3"/>
    <n v="20"/>
    <n v="155"/>
    <n v="2"/>
    <m/>
  </r>
  <r>
    <x v="12"/>
    <x v="3"/>
    <n v="13"/>
    <n v="147"/>
    <n v="2"/>
    <m/>
  </r>
  <r>
    <x v="12"/>
    <x v="0"/>
    <n v="30"/>
    <n v="147"/>
    <n v="2"/>
    <m/>
  </r>
  <r>
    <x v="12"/>
    <x v="1"/>
    <n v="40"/>
    <n v="147"/>
    <n v="2"/>
    <m/>
  </r>
  <r>
    <x v="12"/>
    <x v="2"/>
    <n v="15"/>
    <n v="147"/>
    <n v="1"/>
    <m/>
  </r>
  <r>
    <x v="12"/>
    <x v="6"/>
    <n v="60"/>
    <n v="147"/>
    <n v="2"/>
    <m/>
  </r>
  <r>
    <x v="12"/>
    <x v="1"/>
    <n v="41"/>
    <n v="147"/>
    <n v="2"/>
    <m/>
  </r>
  <r>
    <x v="12"/>
    <x v="3"/>
    <n v="10"/>
    <n v="147"/>
    <n v="2"/>
    <m/>
  </r>
  <r>
    <x v="12"/>
    <x v="0"/>
    <n v="30"/>
    <n v="147"/>
    <n v="2"/>
    <m/>
  </r>
  <r>
    <x v="12"/>
    <x v="6"/>
    <n v="60"/>
    <n v="147"/>
    <n v="2"/>
    <m/>
  </r>
  <r>
    <x v="13"/>
    <x v="3"/>
    <n v="13"/>
    <n v="140"/>
    <n v="2"/>
    <m/>
  </r>
  <r>
    <x v="13"/>
    <x v="1"/>
    <n v="40"/>
    <n v="140"/>
    <n v="2"/>
    <m/>
  </r>
  <r>
    <x v="13"/>
    <x v="2"/>
    <n v="15"/>
    <n v="140"/>
    <n v="2"/>
    <m/>
  </r>
  <r>
    <x v="13"/>
    <x v="0"/>
    <n v="30"/>
    <n v="140"/>
    <n v="2"/>
    <m/>
  </r>
  <r>
    <x v="13"/>
    <x v="3"/>
    <n v="15"/>
    <n v="140"/>
    <n v="2"/>
    <m/>
  </r>
  <r>
    <x v="13"/>
    <x v="1"/>
    <n v="35"/>
    <n v="140"/>
    <n v="2"/>
    <m/>
  </r>
  <r>
    <x v="13"/>
    <x v="2"/>
    <n v="15"/>
    <n v="140"/>
    <n v="2"/>
    <m/>
  </r>
  <r>
    <x v="13"/>
    <x v="0"/>
    <n v="30"/>
    <n v="140"/>
    <n v="2"/>
    <m/>
  </r>
  <r>
    <x v="14"/>
    <x v="3"/>
    <n v="15"/>
    <n v="139"/>
    <n v="4"/>
    <m/>
  </r>
  <r>
    <x v="14"/>
    <x v="3"/>
    <n v="15"/>
    <n v="139"/>
    <n v="4"/>
    <m/>
  </r>
  <r>
    <x v="14"/>
    <x v="3"/>
    <n v="12"/>
    <n v="139"/>
    <n v="4"/>
    <m/>
  </r>
  <r>
    <x v="14"/>
    <x v="2"/>
    <n v="18"/>
    <n v="139"/>
    <n v="2"/>
    <m/>
  </r>
  <r>
    <x v="14"/>
    <x v="1"/>
    <n v="40"/>
    <n v="139"/>
    <n v="1"/>
    <m/>
  </r>
  <r>
    <x v="14"/>
    <x v="0"/>
    <n v="30"/>
    <n v="139"/>
    <n v="2"/>
    <m/>
  </r>
  <r>
    <x v="14"/>
    <x v="2"/>
    <n v="16"/>
    <n v="139"/>
    <n v="2"/>
    <m/>
  </r>
  <r>
    <x v="14"/>
    <x v="3"/>
    <n v="12"/>
    <n v="139"/>
    <n v="4"/>
    <m/>
  </r>
  <r>
    <x v="14"/>
    <x v="0"/>
    <n v="30"/>
    <n v="139"/>
    <n v="2"/>
    <m/>
  </r>
  <r>
    <x v="15"/>
    <x v="7"/>
    <n v="60"/>
    <n v="121"/>
    <n v="3"/>
    <m/>
  </r>
  <r>
    <x v="15"/>
    <x v="7"/>
    <n v="54"/>
    <n v="121"/>
    <n v="3"/>
    <m/>
  </r>
  <r>
    <x v="15"/>
    <x v="7"/>
    <n v="54"/>
    <n v="121"/>
    <n v="3"/>
    <m/>
  </r>
  <r>
    <x v="16"/>
    <x v="3"/>
    <n v="10"/>
    <n v="115"/>
    <n v="1"/>
    <m/>
  </r>
  <r>
    <x v="16"/>
    <x v="2"/>
    <n v="10"/>
    <n v="115"/>
    <n v="1"/>
    <m/>
  </r>
  <r>
    <x v="16"/>
    <x v="1"/>
    <n v="36"/>
    <n v="115"/>
    <n v="1"/>
    <m/>
  </r>
  <r>
    <x v="17"/>
    <x v="6"/>
    <n v="60"/>
    <n v="112"/>
    <n v="1"/>
    <m/>
  </r>
  <r>
    <x v="17"/>
    <x v="2"/>
    <n v="16"/>
    <n v="112"/>
    <n v="1"/>
    <m/>
  </r>
  <r>
    <x v="17"/>
    <x v="3"/>
    <n v="15"/>
    <n v="112"/>
    <n v="1"/>
    <m/>
  </r>
  <r>
    <x v="17"/>
    <x v="0"/>
    <n v="30"/>
    <n v="112"/>
    <n v="1"/>
    <m/>
  </r>
  <r>
    <x v="17"/>
    <x v="1"/>
    <n v="40"/>
    <n v="112"/>
    <n v="1"/>
    <m/>
  </r>
  <r>
    <x v="17"/>
    <x v="8"/>
    <n v="1"/>
    <n v="112"/>
    <n v="1"/>
    <m/>
  </r>
  <r>
    <x v="18"/>
    <x v="6"/>
    <n v="61"/>
    <n v="106"/>
    <n v="2"/>
    <m/>
  </r>
  <r>
    <x v="18"/>
    <x v="2"/>
    <n v="11"/>
    <n v="106"/>
    <n v="2"/>
    <m/>
  </r>
  <r>
    <x v="18"/>
    <x v="3"/>
    <n v="15"/>
    <n v="106"/>
    <n v="2"/>
    <m/>
  </r>
  <r>
    <x v="18"/>
    <x v="0"/>
    <n v="30"/>
    <n v="106"/>
    <n v="2"/>
    <m/>
  </r>
  <r>
    <x v="18"/>
    <x v="1"/>
    <n v="35"/>
    <n v="106"/>
    <n v="2"/>
    <m/>
  </r>
  <r>
    <x v="18"/>
    <x v="8"/>
    <n v="1"/>
    <n v="106"/>
    <n v="2"/>
    <m/>
  </r>
  <r>
    <x v="18"/>
    <x v="6"/>
    <n v="60"/>
    <n v="106"/>
    <n v="2"/>
    <m/>
  </r>
  <r>
    <x v="18"/>
    <x v="2"/>
    <n v="12"/>
    <n v="106"/>
    <n v="2"/>
    <m/>
  </r>
  <r>
    <x v="18"/>
    <x v="3"/>
    <n v="15"/>
    <n v="106"/>
    <n v="2"/>
    <m/>
  </r>
  <r>
    <x v="18"/>
    <x v="0"/>
    <n v="35"/>
    <n v="106"/>
    <n v="2"/>
    <m/>
  </r>
  <r>
    <x v="18"/>
    <x v="1"/>
    <n v="30"/>
    <n v="106"/>
    <n v="2"/>
    <m/>
  </r>
  <r>
    <x v="18"/>
    <x v="8"/>
    <n v="1"/>
    <n v="106"/>
    <n v="2"/>
    <m/>
  </r>
  <r>
    <x v="19"/>
    <x v="9"/>
    <n v="2"/>
    <n v="89"/>
    <n v="1"/>
    <m/>
  </r>
  <r>
    <x v="20"/>
    <x v="6"/>
    <n v="60"/>
    <n v="77"/>
    <n v="3"/>
    <m/>
  </r>
  <r>
    <x v="20"/>
    <x v="6"/>
    <n v="60"/>
    <n v="77"/>
    <n v="3"/>
    <m/>
  </r>
  <r>
    <x v="20"/>
    <x v="2"/>
    <n v="20"/>
    <n v="77"/>
    <n v="2"/>
    <m/>
  </r>
  <r>
    <x v="20"/>
    <x v="2"/>
    <n v="20"/>
    <n v="77"/>
    <n v="2"/>
    <m/>
  </r>
  <r>
    <x v="20"/>
    <x v="10"/>
    <n v="8"/>
    <n v="77"/>
    <n v="1"/>
    <m/>
  </r>
  <r>
    <x v="20"/>
    <x v="11"/>
    <n v="11"/>
    <n v="77"/>
    <n v="1"/>
    <m/>
  </r>
  <r>
    <x v="20"/>
    <x v="6"/>
    <n v="65"/>
    <n v="77"/>
    <n v="3"/>
    <m/>
  </r>
  <r>
    <x v="20"/>
    <x v="3"/>
    <n v="15"/>
    <n v="77"/>
    <n v="1"/>
    <m/>
  </r>
  <r>
    <x v="21"/>
    <x v="2"/>
    <n v="20"/>
    <n v="75"/>
    <n v="1"/>
    <m/>
  </r>
  <r>
    <x v="21"/>
    <x v="6"/>
    <n v="60"/>
    <n v="75"/>
    <n v="1"/>
    <m/>
  </r>
  <r>
    <x v="21"/>
    <x v="10"/>
    <n v="12"/>
    <n v="75"/>
    <n v="1"/>
    <m/>
  </r>
  <r>
    <x v="21"/>
    <x v="3"/>
    <n v="15"/>
    <n v="75"/>
    <n v="2"/>
    <m/>
  </r>
  <r>
    <x v="21"/>
    <x v="1"/>
    <n v="30"/>
    <n v="75"/>
    <n v="1"/>
    <m/>
  </r>
  <r>
    <x v="21"/>
    <x v="11"/>
    <n v="12"/>
    <n v="75"/>
    <n v="1"/>
    <m/>
  </r>
  <r>
    <x v="21"/>
    <x v="3"/>
    <n v="16"/>
    <n v="75"/>
    <n v="2"/>
    <m/>
  </r>
  <r>
    <x v="22"/>
    <x v="12"/>
    <n v="12"/>
    <n v="66"/>
    <n v="5"/>
    <s v="10kg"/>
  </r>
  <r>
    <x v="22"/>
    <x v="13"/>
    <n v="16"/>
    <n v="66"/>
    <n v="5"/>
    <s v="10kg"/>
  </r>
  <r>
    <x v="22"/>
    <x v="12"/>
    <n v="14"/>
    <n v="66"/>
    <n v="5"/>
    <s v="10kg"/>
  </r>
  <r>
    <x v="22"/>
    <x v="13"/>
    <n v="14"/>
    <n v="66"/>
    <n v="5"/>
    <s v="10kg"/>
  </r>
  <r>
    <x v="22"/>
    <x v="14"/>
    <n v="13"/>
    <n v="66"/>
    <n v="3"/>
    <m/>
  </r>
  <r>
    <x v="22"/>
    <x v="15"/>
    <n v="15"/>
    <n v="66"/>
    <n v="4"/>
    <m/>
  </r>
  <r>
    <x v="22"/>
    <x v="12"/>
    <n v="14"/>
    <n v="66"/>
    <n v="5"/>
    <m/>
  </r>
  <r>
    <x v="22"/>
    <x v="13"/>
    <n v="20"/>
    <n v="66"/>
    <n v="5"/>
    <m/>
  </r>
  <r>
    <x v="22"/>
    <x v="16"/>
    <n v="12"/>
    <n v="66"/>
    <n v="3"/>
    <m/>
  </r>
  <r>
    <x v="22"/>
    <x v="15"/>
    <n v="15"/>
    <n v="66"/>
    <n v="4"/>
    <m/>
  </r>
  <r>
    <x v="22"/>
    <x v="17"/>
    <n v="20"/>
    <n v="66"/>
    <n v="3"/>
    <m/>
  </r>
  <r>
    <x v="22"/>
    <x v="14"/>
    <n v="16"/>
    <n v="66"/>
    <n v="3"/>
    <m/>
  </r>
  <r>
    <x v="22"/>
    <x v="18"/>
    <n v="20"/>
    <n v="66"/>
    <n v="3"/>
    <m/>
  </r>
  <r>
    <x v="22"/>
    <x v="12"/>
    <n v="15"/>
    <n v="66"/>
    <n v="5"/>
    <m/>
  </r>
  <r>
    <x v="22"/>
    <x v="13"/>
    <n v="20"/>
    <n v="66"/>
    <n v="5"/>
    <m/>
  </r>
  <r>
    <x v="22"/>
    <x v="16"/>
    <n v="10"/>
    <n v="66"/>
    <n v="3"/>
    <m/>
  </r>
  <r>
    <x v="22"/>
    <x v="15"/>
    <n v="16"/>
    <n v="66"/>
    <n v="4"/>
    <m/>
  </r>
  <r>
    <x v="22"/>
    <x v="17"/>
    <n v="20"/>
    <n v="66"/>
    <n v="3"/>
    <m/>
  </r>
  <r>
    <x v="22"/>
    <x v="14"/>
    <n v="12"/>
    <n v="66"/>
    <n v="3"/>
    <m/>
  </r>
  <r>
    <x v="22"/>
    <x v="18"/>
    <n v="15"/>
    <n v="66"/>
    <n v="3"/>
    <m/>
  </r>
  <r>
    <x v="22"/>
    <x v="12"/>
    <n v="13"/>
    <n v="66"/>
    <n v="5"/>
    <m/>
  </r>
  <r>
    <x v="22"/>
    <x v="13"/>
    <n v="15"/>
    <n v="66"/>
    <n v="5"/>
    <m/>
  </r>
  <r>
    <x v="22"/>
    <x v="16"/>
    <n v="10"/>
    <n v="66"/>
    <n v="3"/>
    <m/>
  </r>
  <r>
    <x v="22"/>
    <x v="15"/>
    <n v="15"/>
    <n v="66"/>
    <n v="4"/>
    <m/>
  </r>
  <r>
    <x v="22"/>
    <x v="17"/>
    <n v="20"/>
    <n v="66"/>
    <n v="3"/>
    <m/>
  </r>
  <r>
    <x v="22"/>
    <x v="18"/>
    <n v="15"/>
    <n v="66"/>
    <n v="3"/>
    <m/>
  </r>
  <r>
    <x v="23"/>
    <x v="19"/>
    <n v="14"/>
    <n v="65"/>
    <n v="2"/>
    <m/>
  </r>
  <r>
    <x v="23"/>
    <x v="20"/>
    <n v="12"/>
    <n v="65"/>
    <n v="2"/>
    <m/>
  </r>
  <r>
    <x v="23"/>
    <x v="21"/>
    <n v="13"/>
    <n v="65"/>
    <n v="2"/>
    <m/>
  </r>
  <r>
    <x v="23"/>
    <x v="22"/>
    <n v="12"/>
    <n v="65"/>
    <n v="2"/>
    <m/>
  </r>
  <r>
    <x v="23"/>
    <x v="23"/>
    <n v="13"/>
    <n v="65"/>
    <n v="2"/>
    <m/>
  </r>
  <r>
    <x v="23"/>
    <x v="24"/>
    <n v="20"/>
    <n v="65"/>
    <n v="2"/>
    <m/>
  </r>
  <r>
    <x v="23"/>
    <x v="19"/>
    <n v="30"/>
    <n v="65"/>
    <n v="2"/>
    <m/>
  </r>
  <r>
    <x v="23"/>
    <x v="20"/>
    <n v="13"/>
    <n v="65"/>
    <n v="2"/>
    <m/>
  </r>
  <r>
    <x v="23"/>
    <x v="21"/>
    <n v="13"/>
    <n v="65"/>
    <n v="2"/>
    <m/>
  </r>
  <r>
    <x v="23"/>
    <x v="22"/>
    <n v="20"/>
    <n v="65"/>
    <n v="2"/>
    <m/>
  </r>
  <r>
    <x v="23"/>
    <x v="23"/>
    <n v="15"/>
    <n v="65"/>
    <n v="2"/>
    <m/>
  </r>
  <r>
    <x v="23"/>
    <x v="24"/>
    <n v="20"/>
    <n v="65"/>
    <n v="2"/>
    <m/>
  </r>
  <r>
    <x v="24"/>
    <x v="25"/>
    <n v="12"/>
    <n v="63"/>
    <n v="4"/>
    <m/>
  </r>
  <r>
    <x v="24"/>
    <x v="26"/>
    <n v="14"/>
    <n v="63"/>
    <n v="4"/>
    <m/>
  </r>
  <r>
    <x v="24"/>
    <x v="14"/>
    <n v="12"/>
    <n v="63"/>
    <n v="3"/>
    <m/>
  </r>
  <r>
    <x v="24"/>
    <x v="25"/>
    <n v="15"/>
    <n v="63"/>
    <n v="4"/>
    <m/>
  </r>
  <r>
    <x v="24"/>
    <x v="26"/>
    <n v="13"/>
    <n v="63"/>
    <n v="4"/>
    <m/>
  </r>
  <r>
    <x v="24"/>
    <x v="25"/>
    <n v="13"/>
    <n v="63"/>
    <n v="4"/>
    <m/>
  </r>
  <r>
    <x v="24"/>
    <x v="26"/>
    <n v="15"/>
    <n v="63"/>
    <n v="4"/>
    <m/>
  </r>
  <r>
    <x v="24"/>
    <x v="27"/>
    <n v="12"/>
    <n v="63"/>
    <n v="3"/>
    <m/>
  </r>
  <r>
    <x v="24"/>
    <x v="14"/>
    <n v="15"/>
    <n v="63"/>
    <n v="3"/>
    <m/>
  </r>
  <r>
    <x v="24"/>
    <x v="25"/>
    <n v="12"/>
    <n v="63"/>
    <n v="4"/>
    <m/>
  </r>
  <r>
    <x v="24"/>
    <x v="26"/>
    <n v="15"/>
    <n v="63"/>
    <n v="4"/>
    <m/>
  </r>
  <r>
    <x v="24"/>
    <x v="27"/>
    <n v="13"/>
    <n v="63"/>
    <n v="3"/>
    <m/>
  </r>
  <r>
    <x v="24"/>
    <x v="14"/>
    <n v="15"/>
    <n v="63"/>
    <n v="3"/>
    <m/>
  </r>
  <r>
    <x v="24"/>
    <x v="6"/>
    <n v="63"/>
    <n v="63"/>
    <n v="1"/>
    <m/>
  </r>
  <r>
    <x v="24"/>
    <x v="27"/>
    <n v="15"/>
    <n v="63"/>
    <n v="3"/>
    <m/>
  </r>
  <r>
    <x v="25"/>
    <x v="12"/>
    <n v="15"/>
    <n v="59"/>
    <n v="2"/>
    <m/>
  </r>
  <r>
    <x v="25"/>
    <x v="13"/>
    <n v="15"/>
    <n v="59"/>
    <n v="2"/>
    <m/>
  </r>
  <r>
    <x v="25"/>
    <x v="16"/>
    <n v="13"/>
    <n v="59"/>
    <n v="2"/>
    <m/>
  </r>
  <r>
    <x v="25"/>
    <x v="15"/>
    <n v="15"/>
    <n v="59"/>
    <n v="2"/>
    <m/>
  </r>
  <r>
    <x v="25"/>
    <x v="17"/>
    <n v="15"/>
    <n v="59"/>
    <n v="2"/>
    <m/>
  </r>
  <r>
    <x v="25"/>
    <x v="14"/>
    <n v="15"/>
    <n v="59"/>
    <n v="2"/>
    <m/>
  </r>
  <r>
    <x v="25"/>
    <x v="18"/>
    <n v="20"/>
    <n v="59"/>
    <n v="2"/>
    <m/>
  </r>
  <r>
    <x v="25"/>
    <x v="12"/>
    <n v="15"/>
    <n v="59"/>
    <n v="2"/>
    <m/>
  </r>
  <r>
    <x v="25"/>
    <x v="13"/>
    <n v="15"/>
    <n v="59"/>
    <n v="2"/>
    <m/>
  </r>
  <r>
    <x v="25"/>
    <x v="16"/>
    <n v="12"/>
    <n v="59"/>
    <n v="2"/>
    <m/>
  </r>
  <r>
    <x v="25"/>
    <x v="15"/>
    <n v="15"/>
    <n v="59"/>
    <n v="2"/>
    <m/>
  </r>
  <r>
    <x v="25"/>
    <x v="17"/>
    <n v="15"/>
    <n v="59"/>
    <n v="2"/>
    <m/>
  </r>
  <r>
    <x v="25"/>
    <x v="14"/>
    <n v="15"/>
    <n v="59"/>
    <n v="2"/>
    <m/>
  </r>
  <r>
    <x v="25"/>
    <x v="18"/>
    <n v="12"/>
    <n v="59"/>
    <n v="2"/>
    <m/>
  </r>
  <r>
    <x v="26"/>
    <x v="12"/>
    <n v="14"/>
    <n v="52"/>
    <n v="1"/>
    <m/>
  </r>
  <r>
    <x v="26"/>
    <x v="13"/>
    <n v="14"/>
    <n v="52"/>
    <n v="1"/>
    <m/>
  </r>
  <r>
    <x v="27"/>
    <x v="25"/>
    <n v="14"/>
    <n v="51"/>
    <n v="1"/>
    <m/>
  </r>
  <r>
    <x v="27"/>
    <x v="26"/>
    <n v="14"/>
    <n v="51"/>
    <n v="1"/>
    <m/>
  </r>
  <r>
    <x v="27"/>
    <x v="27"/>
    <n v="13"/>
    <n v="51"/>
    <n v="3"/>
    <m/>
  </r>
  <r>
    <x v="27"/>
    <x v="28"/>
    <n v="15"/>
    <n v="51"/>
    <n v="3"/>
    <m/>
  </r>
  <r>
    <x v="27"/>
    <x v="29"/>
    <n v="15"/>
    <n v="51"/>
    <n v="3"/>
    <m/>
  </r>
  <r>
    <x v="27"/>
    <x v="30"/>
    <n v="15"/>
    <n v="51"/>
    <n v="3"/>
    <m/>
  </r>
  <r>
    <x v="27"/>
    <x v="31"/>
    <n v="15"/>
    <n v="51"/>
    <n v="3"/>
    <m/>
  </r>
  <r>
    <x v="27"/>
    <x v="22"/>
    <n v="15"/>
    <n v="51"/>
    <n v="3"/>
    <m/>
  </r>
  <r>
    <x v="27"/>
    <x v="24"/>
    <n v="15"/>
    <n v="51"/>
    <n v="3"/>
    <m/>
  </r>
  <r>
    <x v="27"/>
    <x v="27"/>
    <n v="14"/>
    <n v="51"/>
    <n v="3"/>
    <m/>
  </r>
  <r>
    <x v="27"/>
    <x v="28"/>
    <n v="27"/>
    <n v="51"/>
    <n v="3"/>
    <m/>
  </r>
  <r>
    <x v="27"/>
    <x v="29"/>
    <n v="20"/>
    <n v="51"/>
    <n v="3"/>
    <m/>
  </r>
  <r>
    <x v="27"/>
    <x v="30"/>
    <n v="17"/>
    <n v="51"/>
    <n v="3"/>
    <m/>
  </r>
  <r>
    <x v="27"/>
    <x v="31"/>
    <n v="16"/>
    <n v="51"/>
    <n v="3"/>
    <m/>
  </r>
  <r>
    <x v="27"/>
    <x v="22"/>
    <n v="20"/>
    <n v="51"/>
    <n v="3"/>
    <m/>
  </r>
  <r>
    <x v="27"/>
    <x v="24"/>
    <n v="18"/>
    <n v="51"/>
    <n v="3"/>
    <m/>
  </r>
  <r>
    <x v="27"/>
    <x v="32"/>
    <n v="20"/>
    <n v="51"/>
    <n v="2"/>
    <m/>
  </r>
  <r>
    <x v="27"/>
    <x v="33"/>
    <n v="20"/>
    <n v="51"/>
    <n v="2"/>
    <m/>
  </r>
  <r>
    <x v="27"/>
    <x v="27"/>
    <n v="12"/>
    <n v="51"/>
    <n v="3"/>
    <m/>
  </r>
  <r>
    <x v="27"/>
    <x v="28"/>
    <n v="20"/>
    <n v="51"/>
    <n v="3"/>
    <m/>
  </r>
  <r>
    <x v="27"/>
    <x v="29"/>
    <n v="14"/>
    <n v="51"/>
    <n v="3"/>
    <m/>
  </r>
  <r>
    <x v="27"/>
    <x v="30"/>
    <n v="18"/>
    <n v="51"/>
    <n v="3"/>
    <m/>
  </r>
  <r>
    <x v="27"/>
    <x v="31"/>
    <n v="16"/>
    <n v="51"/>
    <n v="3"/>
    <m/>
  </r>
  <r>
    <x v="27"/>
    <x v="22"/>
    <n v="20"/>
    <n v="51"/>
    <n v="3"/>
    <m/>
  </r>
  <r>
    <x v="27"/>
    <x v="24"/>
    <n v="20"/>
    <n v="51"/>
    <n v="3"/>
    <m/>
  </r>
  <r>
    <x v="27"/>
    <x v="32"/>
    <n v="20"/>
    <n v="51"/>
    <n v="2"/>
    <m/>
  </r>
  <r>
    <x v="27"/>
    <x v="33"/>
    <n v="20"/>
    <n v="51"/>
    <n v="2"/>
    <m/>
  </r>
  <r>
    <x v="28"/>
    <x v="12"/>
    <n v="12"/>
    <n v="45"/>
    <n v="3"/>
    <m/>
  </r>
  <r>
    <x v="28"/>
    <x v="13"/>
    <n v="12"/>
    <n v="45"/>
    <n v="3"/>
    <m/>
  </r>
  <r>
    <x v="28"/>
    <x v="16"/>
    <n v="12"/>
    <n v="45"/>
    <n v="3"/>
    <m/>
  </r>
  <r>
    <x v="28"/>
    <x v="15"/>
    <n v="17"/>
    <n v="45"/>
    <n v="3"/>
    <m/>
  </r>
  <r>
    <x v="28"/>
    <x v="17"/>
    <n v="12"/>
    <n v="45"/>
    <n v="3"/>
    <m/>
  </r>
  <r>
    <x v="28"/>
    <x v="14"/>
    <n v="12"/>
    <n v="45"/>
    <n v="3"/>
    <m/>
  </r>
  <r>
    <x v="28"/>
    <x v="18"/>
    <n v="15"/>
    <n v="45"/>
    <n v="3"/>
    <m/>
  </r>
  <r>
    <x v="28"/>
    <x v="25"/>
    <n v="12"/>
    <n v="45"/>
    <n v="3"/>
    <m/>
  </r>
  <r>
    <x v="28"/>
    <x v="12"/>
    <n v="12"/>
    <n v="45"/>
    <n v="3"/>
    <m/>
  </r>
  <r>
    <x v="28"/>
    <x v="13"/>
    <n v="14"/>
    <n v="45"/>
    <n v="3"/>
    <m/>
  </r>
  <r>
    <x v="28"/>
    <x v="16"/>
    <n v="10"/>
    <n v="45"/>
    <n v="3"/>
    <m/>
  </r>
  <r>
    <x v="28"/>
    <x v="15"/>
    <n v="13"/>
    <n v="45"/>
    <n v="3"/>
    <m/>
  </r>
  <r>
    <x v="28"/>
    <x v="17"/>
    <n v="14"/>
    <n v="45"/>
    <n v="3"/>
    <m/>
  </r>
  <r>
    <x v="28"/>
    <x v="14"/>
    <n v="12"/>
    <n v="45"/>
    <n v="3"/>
    <m/>
  </r>
  <r>
    <x v="28"/>
    <x v="18"/>
    <n v="12"/>
    <n v="45"/>
    <n v="3"/>
    <m/>
  </r>
  <r>
    <x v="28"/>
    <x v="25"/>
    <n v="13"/>
    <n v="45"/>
    <n v="3"/>
    <m/>
  </r>
  <r>
    <x v="28"/>
    <x v="12"/>
    <n v="12"/>
    <n v="45"/>
    <n v="3"/>
    <m/>
  </r>
  <r>
    <x v="28"/>
    <x v="13"/>
    <n v="12"/>
    <n v="45"/>
    <n v="3"/>
    <m/>
  </r>
  <r>
    <x v="28"/>
    <x v="16"/>
    <n v="10"/>
    <n v="45"/>
    <n v="3"/>
    <m/>
  </r>
  <r>
    <x v="28"/>
    <x v="15"/>
    <n v="12"/>
    <n v="45"/>
    <n v="3"/>
    <m/>
  </r>
  <r>
    <x v="28"/>
    <x v="17"/>
    <n v="12"/>
    <n v="45"/>
    <n v="3"/>
    <m/>
  </r>
  <r>
    <x v="28"/>
    <x v="14"/>
    <n v="12"/>
    <n v="45"/>
    <n v="3"/>
    <m/>
  </r>
  <r>
    <x v="28"/>
    <x v="18"/>
    <n v="12"/>
    <n v="45"/>
    <n v="3"/>
    <m/>
  </r>
  <r>
    <x v="28"/>
    <x v="25"/>
    <n v="15"/>
    <n v="45"/>
    <n v="3"/>
    <m/>
  </r>
  <r>
    <x v="29"/>
    <x v="27"/>
    <n v="12"/>
    <n v="44"/>
    <n v="5"/>
    <m/>
  </r>
  <r>
    <x v="29"/>
    <x v="32"/>
    <n v="12"/>
    <n v="44"/>
    <n v="4"/>
    <m/>
  </r>
  <r>
    <x v="29"/>
    <x v="33"/>
    <n v="14"/>
    <n v="44"/>
    <n v="4"/>
    <m/>
  </r>
  <r>
    <x v="29"/>
    <x v="34"/>
    <n v="12"/>
    <n v="44"/>
    <n v="4"/>
    <m/>
  </r>
  <r>
    <x v="29"/>
    <x v="27"/>
    <n v="12"/>
    <n v="44"/>
    <n v="5"/>
    <m/>
  </r>
  <r>
    <x v="29"/>
    <x v="32"/>
    <n v="13"/>
    <n v="44"/>
    <n v="4"/>
    <m/>
  </r>
  <r>
    <x v="29"/>
    <x v="33"/>
    <n v="13"/>
    <n v="44"/>
    <n v="4"/>
    <m/>
  </r>
  <r>
    <x v="29"/>
    <x v="34"/>
    <n v="13"/>
    <n v="44"/>
    <n v="4"/>
    <m/>
  </r>
  <r>
    <x v="29"/>
    <x v="27"/>
    <n v="13"/>
    <n v="44"/>
    <n v="5"/>
    <m/>
  </r>
  <r>
    <x v="29"/>
    <x v="32"/>
    <n v="13"/>
    <n v="44"/>
    <n v="4"/>
    <m/>
  </r>
  <r>
    <x v="29"/>
    <x v="33"/>
    <n v="14"/>
    <n v="44"/>
    <n v="4"/>
    <m/>
  </r>
  <r>
    <x v="29"/>
    <x v="34"/>
    <n v="14"/>
    <n v="44"/>
    <n v="4"/>
    <m/>
  </r>
  <r>
    <x v="29"/>
    <x v="27"/>
    <n v="14"/>
    <n v="44"/>
    <n v="5"/>
    <m/>
  </r>
  <r>
    <x v="29"/>
    <x v="32"/>
    <n v="14"/>
    <n v="44"/>
    <n v="4"/>
    <m/>
  </r>
  <r>
    <x v="29"/>
    <x v="33"/>
    <n v="14"/>
    <n v="44"/>
    <n v="4"/>
    <m/>
  </r>
  <r>
    <x v="29"/>
    <x v="34"/>
    <n v="14"/>
    <n v="44"/>
    <n v="4"/>
    <m/>
  </r>
  <r>
    <x v="29"/>
    <x v="27"/>
    <n v="14"/>
    <n v="44"/>
    <n v="5"/>
    <m/>
  </r>
  <r>
    <x v="30"/>
    <x v="27"/>
    <n v="12"/>
    <n v="37"/>
    <n v="3"/>
    <m/>
  </r>
  <r>
    <x v="30"/>
    <x v="34"/>
    <n v="16"/>
    <n v="37"/>
    <n v="3"/>
    <m/>
  </r>
  <r>
    <x v="30"/>
    <x v="28"/>
    <n v="15"/>
    <n v="37"/>
    <n v="3"/>
    <m/>
  </r>
  <r>
    <x v="30"/>
    <x v="29"/>
    <n v="13"/>
    <n v="37"/>
    <n v="3"/>
    <m/>
  </r>
  <r>
    <x v="30"/>
    <x v="30"/>
    <n v="13"/>
    <n v="37"/>
    <n v="3"/>
    <m/>
  </r>
  <r>
    <x v="30"/>
    <x v="31"/>
    <n v="14"/>
    <n v="37"/>
    <n v="3"/>
    <m/>
  </r>
  <r>
    <x v="30"/>
    <x v="22"/>
    <n v="15"/>
    <n v="37"/>
    <n v="3"/>
    <m/>
  </r>
  <r>
    <x v="30"/>
    <x v="24"/>
    <n v="16"/>
    <n v="37"/>
    <n v="3"/>
    <m/>
  </r>
  <r>
    <x v="30"/>
    <x v="15"/>
    <n v="13"/>
    <n v="37"/>
    <n v="3"/>
    <m/>
  </r>
  <r>
    <x v="30"/>
    <x v="27"/>
    <n v="12"/>
    <n v="37"/>
    <n v="3"/>
    <m/>
  </r>
  <r>
    <x v="30"/>
    <x v="34"/>
    <n v="18"/>
    <n v="37"/>
    <n v="3"/>
    <m/>
  </r>
  <r>
    <x v="30"/>
    <x v="28"/>
    <n v="13"/>
    <n v="37"/>
    <n v="3"/>
    <m/>
  </r>
  <r>
    <x v="30"/>
    <x v="29"/>
    <n v="13"/>
    <n v="37"/>
    <n v="3"/>
    <m/>
  </r>
  <r>
    <x v="30"/>
    <x v="30"/>
    <n v="14"/>
    <n v="37"/>
    <n v="3"/>
    <m/>
  </r>
  <r>
    <x v="30"/>
    <x v="31"/>
    <n v="13"/>
    <n v="37"/>
    <n v="3"/>
    <m/>
  </r>
  <r>
    <x v="30"/>
    <x v="22"/>
    <n v="17"/>
    <n v="37"/>
    <n v="3"/>
    <m/>
  </r>
  <r>
    <x v="30"/>
    <x v="24"/>
    <n v="20"/>
    <n v="37"/>
    <n v="3"/>
    <m/>
  </r>
  <r>
    <x v="30"/>
    <x v="15"/>
    <n v="15"/>
    <n v="37"/>
    <n v="3"/>
    <m/>
  </r>
  <r>
    <x v="30"/>
    <x v="27"/>
    <n v="13"/>
    <n v="37"/>
    <n v="3"/>
    <m/>
  </r>
  <r>
    <x v="30"/>
    <x v="34"/>
    <n v="17"/>
    <n v="37"/>
    <n v="3"/>
    <m/>
  </r>
  <r>
    <x v="30"/>
    <x v="28"/>
    <n v="14"/>
    <n v="37"/>
    <n v="3"/>
    <m/>
  </r>
  <r>
    <x v="30"/>
    <x v="29"/>
    <n v="13"/>
    <n v="37"/>
    <n v="3"/>
    <m/>
  </r>
  <r>
    <x v="30"/>
    <x v="30"/>
    <n v="17"/>
    <n v="37"/>
    <n v="3"/>
    <m/>
  </r>
  <r>
    <x v="30"/>
    <x v="31"/>
    <n v="13"/>
    <n v="37"/>
    <n v="3"/>
    <m/>
  </r>
  <r>
    <x v="30"/>
    <x v="22"/>
    <n v="18"/>
    <n v="37"/>
    <n v="3"/>
    <m/>
  </r>
  <r>
    <x v="30"/>
    <x v="24"/>
    <n v="20"/>
    <n v="37"/>
    <n v="3"/>
    <m/>
  </r>
  <r>
    <x v="30"/>
    <x v="15"/>
    <n v="16"/>
    <n v="37"/>
    <n v="3"/>
    <m/>
  </r>
  <r>
    <x v="31"/>
    <x v="32"/>
    <n v="12"/>
    <n v="36"/>
    <n v="2"/>
    <m/>
  </r>
  <r>
    <x v="31"/>
    <x v="33"/>
    <n v="12"/>
    <n v="36"/>
    <n v="2"/>
    <m/>
  </r>
  <r>
    <x v="31"/>
    <x v="25"/>
    <n v="12"/>
    <n v="36"/>
    <n v="2"/>
    <m/>
  </r>
  <r>
    <x v="31"/>
    <x v="26"/>
    <n v="12"/>
    <n v="36"/>
    <n v="2"/>
    <m/>
  </r>
  <r>
    <x v="31"/>
    <x v="17"/>
    <n v="10"/>
    <n v="36"/>
    <n v="2"/>
    <m/>
  </r>
  <r>
    <x v="31"/>
    <x v="3"/>
    <n v="12"/>
    <n v="36"/>
    <n v="1"/>
    <m/>
  </r>
  <r>
    <x v="31"/>
    <x v="32"/>
    <n v="12"/>
    <n v="36"/>
    <n v="2"/>
    <m/>
  </r>
  <r>
    <x v="31"/>
    <x v="33"/>
    <n v="12"/>
    <n v="36"/>
    <n v="2"/>
    <m/>
  </r>
  <r>
    <x v="31"/>
    <x v="25"/>
    <n v="12"/>
    <n v="36"/>
    <n v="2"/>
    <m/>
  </r>
  <r>
    <x v="31"/>
    <x v="26"/>
    <n v="12"/>
    <n v="36"/>
    <n v="2"/>
    <m/>
  </r>
  <r>
    <x v="31"/>
    <x v="17"/>
    <n v="12"/>
    <n v="36"/>
    <n v="2"/>
    <m/>
  </r>
  <r>
    <x v="32"/>
    <x v="28"/>
    <n v="13"/>
    <n v="32"/>
    <n v="2"/>
    <m/>
  </r>
  <r>
    <x v="32"/>
    <x v="29"/>
    <n v="13"/>
    <n v="32"/>
    <n v="2"/>
    <m/>
  </r>
  <r>
    <x v="32"/>
    <x v="30"/>
    <n v="13"/>
    <n v="32"/>
    <n v="2"/>
    <m/>
  </r>
  <r>
    <x v="32"/>
    <x v="31"/>
    <n v="14"/>
    <n v="32"/>
    <n v="2"/>
    <m/>
  </r>
  <r>
    <x v="32"/>
    <x v="22"/>
    <n v="14"/>
    <n v="32"/>
    <n v="2"/>
    <m/>
  </r>
  <r>
    <x v="32"/>
    <x v="24"/>
    <n v="15"/>
    <n v="32"/>
    <n v="2"/>
    <m/>
  </r>
  <r>
    <x v="32"/>
    <x v="32"/>
    <n v="14"/>
    <n v="32"/>
    <n v="2"/>
    <m/>
  </r>
  <r>
    <x v="32"/>
    <x v="33"/>
    <n v="13"/>
    <n v="32"/>
    <n v="2"/>
    <m/>
  </r>
  <r>
    <x v="32"/>
    <x v="34"/>
    <n v="14"/>
    <n v="32"/>
    <n v="2"/>
    <m/>
  </r>
  <r>
    <x v="32"/>
    <x v="27"/>
    <n v="14"/>
    <n v="32"/>
    <n v="2"/>
    <m/>
  </r>
  <r>
    <x v="32"/>
    <x v="13"/>
    <n v="13"/>
    <n v="32"/>
    <n v="2"/>
    <m/>
  </r>
  <r>
    <x v="32"/>
    <x v="28"/>
    <n v="16"/>
    <n v="32"/>
    <n v="2"/>
    <m/>
  </r>
  <r>
    <x v="32"/>
    <x v="29"/>
    <n v="14"/>
    <n v="32"/>
    <n v="2"/>
    <m/>
  </r>
  <r>
    <x v="32"/>
    <x v="30"/>
    <n v="14"/>
    <n v="32"/>
    <n v="2"/>
    <m/>
  </r>
  <r>
    <x v="32"/>
    <x v="31"/>
    <n v="13"/>
    <n v="32"/>
    <n v="2"/>
    <m/>
  </r>
  <r>
    <x v="32"/>
    <x v="22"/>
    <n v="13"/>
    <n v="32"/>
    <n v="2"/>
    <m/>
  </r>
  <r>
    <x v="32"/>
    <x v="24"/>
    <n v="20"/>
    <n v="32"/>
    <n v="2"/>
    <m/>
  </r>
  <r>
    <x v="32"/>
    <x v="32"/>
    <n v="20"/>
    <n v="32"/>
    <n v="2"/>
    <m/>
  </r>
  <r>
    <x v="32"/>
    <x v="33"/>
    <n v="20"/>
    <n v="32"/>
    <n v="2"/>
    <m/>
  </r>
  <r>
    <x v="32"/>
    <x v="34"/>
    <n v="13"/>
    <n v="32"/>
    <n v="2"/>
    <m/>
  </r>
  <r>
    <x v="32"/>
    <x v="27"/>
    <n v="13"/>
    <n v="32"/>
    <n v="2"/>
    <m/>
  </r>
  <r>
    <x v="32"/>
    <x v="13"/>
    <n v="16"/>
    <n v="32"/>
    <n v="2"/>
    <m/>
  </r>
  <r>
    <x v="32"/>
    <x v="35"/>
    <n v="200"/>
    <n v="32"/>
    <n v="3"/>
    <m/>
  </r>
  <r>
    <x v="32"/>
    <x v="35"/>
    <n v="490"/>
    <n v="32"/>
    <n v="3"/>
    <m/>
  </r>
  <r>
    <x v="32"/>
    <x v="35"/>
    <n v="200"/>
    <n v="32"/>
    <n v="3"/>
    <m/>
  </r>
  <r>
    <x v="33"/>
    <x v="35"/>
    <n v="260"/>
    <n v="31"/>
    <n v="1"/>
    <m/>
  </r>
  <r>
    <x v="34"/>
    <x v="35"/>
    <n v="300"/>
    <n v="29"/>
    <n v="1"/>
    <m/>
  </r>
  <r>
    <x v="34"/>
    <x v="25"/>
    <n v="13"/>
    <n v="29"/>
    <n v="1"/>
    <m/>
  </r>
  <r>
    <x v="34"/>
    <x v="26"/>
    <n v="12"/>
    <n v="29"/>
    <n v="1"/>
    <m/>
  </r>
  <r>
    <x v="34"/>
    <x v="32"/>
    <n v="12"/>
    <n v="29"/>
    <n v="1"/>
    <m/>
  </r>
  <r>
    <x v="34"/>
    <x v="33"/>
    <n v="12"/>
    <n v="29"/>
    <n v="1"/>
    <m/>
  </r>
  <r>
    <x v="34"/>
    <x v="34"/>
    <n v="13"/>
    <n v="29"/>
    <n v="1"/>
    <m/>
  </r>
  <r>
    <x v="34"/>
    <x v="27"/>
    <n v="13"/>
    <n v="29"/>
    <n v="1"/>
    <m/>
  </r>
  <r>
    <x v="35"/>
    <x v="25"/>
    <n v="14"/>
    <n v="28"/>
    <n v="2"/>
    <m/>
  </r>
  <r>
    <x v="35"/>
    <x v="26"/>
    <n v="13"/>
    <n v="28"/>
    <n v="2"/>
    <m/>
  </r>
  <r>
    <x v="35"/>
    <x v="32"/>
    <n v="13"/>
    <n v="28"/>
    <n v="2"/>
    <m/>
  </r>
  <r>
    <x v="35"/>
    <x v="33"/>
    <n v="13"/>
    <n v="28"/>
    <n v="2"/>
    <m/>
  </r>
  <r>
    <x v="35"/>
    <x v="34"/>
    <n v="15"/>
    <n v="28"/>
    <n v="3"/>
    <m/>
  </r>
  <r>
    <x v="35"/>
    <x v="27"/>
    <n v="17"/>
    <n v="28"/>
    <n v="3"/>
    <m/>
  </r>
  <r>
    <x v="35"/>
    <x v="25"/>
    <n v="12"/>
    <n v="28"/>
    <n v="2"/>
    <m/>
  </r>
  <r>
    <x v="35"/>
    <x v="26"/>
    <n v="12"/>
    <n v="28"/>
    <n v="2"/>
    <m/>
  </r>
  <r>
    <x v="35"/>
    <x v="32"/>
    <n v="24"/>
    <n v="28"/>
    <n v="2"/>
    <m/>
  </r>
  <r>
    <x v="35"/>
    <x v="33"/>
    <n v="24"/>
    <n v="28"/>
    <n v="2"/>
    <m/>
  </r>
  <r>
    <x v="35"/>
    <x v="34"/>
    <n v="14"/>
    <n v="28"/>
    <n v="3"/>
    <m/>
  </r>
  <r>
    <x v="35"/>
    <x v="27"/>
    <n v="16"/>
    <n v="28"/>
    <n v="3"/>
    <m/>
  </r>
  <r>
    <x v="35"/>
    <x v="34"/>
    <n v="15"/>
    <n v="28"/>
    <n v="3"/>
    <m/>
  </r>
  <r>
    <x v="35"/>
    <x v="27"/>
    <n v="15"/>
    <n v="28"/>
    <n v="3"/>
    <m/>
  </r>
  <r>
    <x v="36"/>
    <x v="35"/>
    <n v="500"/>
    <n v="27"/>
    <n v="3"/>
    <m/>
  </r>
  <r>
    <x v="36"/>
    <x v="35"/>
    <n v="250"/>
    <n v="27"/>
    <n v="3"/>
    <m/>
  </r>
  <r>
    <x v="36"/>
    <x v="35"/>
    <n v="250"/>
    <n v="27"/>
    <n v="3"/>
    <m/>
  </r>
  <r>
    <x v="37"/>
    <x v="35"/>
    <n v="250"/>
    <n v="26"/>
    <n v="1"/>
    <m/>
  </r>
  <r>
    <x v="38"/>
    <x v="35"/>
    <n v="400"/>
    <n v="25"/>
    <n v="3"/>
    <m/>
  </r>
  <r>
    <x v="38"/>
    <x v="35"/>
    <n v="300"/>
    <n v="25"/>
    <n v="3"/>
    <m/>
  </r>
  <r>
    <x v="38"/>
    <x v="35"/>
    <n v="300"/>
    <n v="25"/>
    <n v="3"/>
    <m/>
  </r>
  <r>
    <x v="39"/>
    <x v="35"/>
    <n v="300"/>
    <n v="24"/>
    <n v="2"/>
    <m/>
  </r>
  <r>
    <x v="39"/>
    <x v="35"/>
    <n v="300"/>
    <n v="24"/>
    <n v="2"/>
    <m/>
  </r>
  <r>
    <x v="40"/>
    <x v="35"/>
    <n v="490"/>
    <n v="22"/>
    <n v="1"/>
    <m/>
  </r>
  <r>
    <x v="41"/>
    <x v="35"/>
    <n v="470"/>
    <n v="20"/>
    <n v="3"/>
    <m/>
  </r>
  <r>
    <x v="41"/>
    <x v="35"/>
    <n v="500"/>
    <n v="20"/>
    <n v="3"/>
    <m/>
  </r>
  <r>
    <x v="41"/>
    <x v="35"/>
    <n v="510"/>
    <n v="20"/>
    <n v="3"/>
    <m/>
  </r>
  <r>
    <x v="42"/>
    <x v="35"/>
    <n v="100"/>
    <n v="19"/>
    <n v="3"/>
    <m/>
  </r>
  <r>
    <x v="42"/>
    <x v="35"/>
    <n v="150"/>
    <n v="19"/>
    <n v="3"/>
    <m/>
  </r>
  <r>
    <x v="42"/>
    <x v="35"/>
    <n v="367"/>
    <n v="19"/>
    <n v="3"/>
    <m/>
  </r>
  <r>
    <x v="43"/>
    <x v="35"/>
    <n v="250"/>
    <n v="17"/>
    <n v="3"/>
    <m/>
  </r>
  <r>
    <x v="43"/>
    <x v="35"/>
    <n v="550"/>
    <n v="17"/>
    <n v="3"/>
    <m/>
  </r>
  <r>
    <x v="43"/>
    <x v="35"/>
    <n v="510"/>
    <n v="17"/>
    <n v="3"/>
    <m/>
  </r>
  <r>
    <x v="44"/>
    <x v="32"/>
    <n v="13"/>
    <n v="16"/>
    <n v="1"/>
    <m/>
  </r>
  <r>
    <x v="44"/>
    <x v="33"/>
    <n v="16"/>
    <n v="16"/>
    <n v="1"/>
    <m/>
  </r>
  <r>
    <x v="44"/>
    <x v="3"/>
    <n v="15"/>
    <n v="16"/>
    <n v="1"/>
    <m/>
  </r>
  <r>
    <x v="45"/>
    <x v="32"/>
    <n v="14"/>
    <n v="15"/>
    <n v="2"/>
    <m/>
  </r>
  <r>
    <x v="45"/>
    <x v="33"/>
    <n v="14"/>
    <n v="15"/>
    <n v="2"/>
    <m/>
  </r>
  <r>
    <x v="45"/>
    <x v="34"/>
    <n v="14"/>
    <n v="15"/>
    <n v="3"/>
    <m/>
  </r>
  <r>
    <x v="45"/>
    <x v="27"/>
    <n v="14"/>
    <n v="15"/>
    <n v="3"/>
    <m/>
  </r>
  <r>
    <x v="45"/>
    <x v="15"/>
    <n v="18"/>
    <n v="15"/>
    <n v="3"/>
    <m/>
  </r>
  <r>
    <x v="45"/>
    <x v="28"/>
    <n v="14"/>
    <n v="15"/>
    <n v="3"/>
    <m/>
  </r>
  <r>
    <x v="45"/>
    <x v="13"/>
    <n v="14"/>
    <n v="15"/>
    <n v="3"/>
    <m/>
  </r>
  <r>
    <x v="45"/>
    <x v="17"/>
    <n v="10"/>
    <n v="15"/>
    <n v="3"/>
    <m/>
  </r>
  <r>
    <x v="45"/>
    <x v="32"/>
    <n v="13"/>
    <n v="15"/>
    <n v="2"/>
    <m/>
  </r>
  <r>
    <x v="45"/>
    <x v="33"/>
    <n v="13"/>
    <n v="15"/>
    <n v="2"/>
    <m/>
  </r>
  <r>
    <x v="45"/>
    <x v="34"/>
    <n v="14"/>
    <n v="15"/>
    <n v="3"/>
    <m/>
  </r>
  <r>
    <x v="45"/>
    <x v="27"/>
    <n v="14"/>
    <n v="15"/>
    <n v="3"/>
    <m/>
  </r>
  <r>
    <x v="45"/>
    <x v="15"/>
    <n v="14"/>
    <n v="15"/>
    <n v="3"/>
    <m/>
  </r>
  <r>
    <x v="45"/>
    <x v="28"/>
    <n v="14"/>
    <n v="15"/>
    <n v="3"/>
    <m/>
  </r>
  <r>
    <x v="45"/>
    <x v="13"/>
    <n v="14"/>
    <n v="15"/>
    <n v="3"/>
    <m/>
  </r>
  <r>
    <x v="45"/>
    <x v="17"/>
    <n v="13"/>
    <n v="15"/>
    <n v="3"/>
    <m/>
  </r>
  <r>
    <x v="45"/>
    <x v="2"/>
    <n v="17"/>
    <n v="15"/>
    <n v="2"/>
    <m/>
  </r>
  <r>
    <x v="45"/>
    <x v="6"/>
    <n v="65"/>
    <n v="15"/>
    <n v="1"/>
    <m/>
  </r>
  <r>
    <x v="45"/>
    <x v="34"/>
    <n v="15"/>
    <n v="15"/>
    <n v="3"/>
    <m/>
  </r>
  <r>
    <x v="45"/>
    <x v="27"/>
    <n v="15"/>
    <n v="15"/>
    <n v="3"/>
    <m/>
  </r>
  <r>
    <x v="45"/>
    <x v="15"/>
    <n v="13"/>
    <n v="15"/>
    <n v="3"/>
    <m/>
  </r>
  <r>
    <x v="45"/>
    <x v="28"/>
    <n v="15"/>
    <n v="15"/>
    <n v="3"/>
    <m/>
  </r>
  <r>
    <x v="45"/>
    <x v="13"/>
    <n v="15"/>
    <n v="15"/>
    <n v="3"/>
    <m/>
  </r>
  <r>
    <x v="45"/>
    <x v="17"/>
    <n v="10"/>
    <n v="15"/>
    <n v="3"/>
    <m/>
  </r>
  <r>
    <x v="45"/>
    <x v="2"/>
    <n v="18"/>
    <n v="15"/>
    <n v="2"/>
    <m/>
  </r>
  <r>
    <x v="46"/>
    <x v="35"/>
    <n v="500"/>
    <n v="12"/>
    <n v="3"/>
    <m/>
  </r>
  <r>
    <x v="46"/>
    <x v="35"/>
    <n v="250"/>
    <n v="12"/>
    <n v="3"/>
    <m/>
  </r>
  <r>
    <x v="46"/>
    <x v="35"/>
    <n v="550"/>
    <n v="12"/>
    <n v="3"/>
    <m/>
  </r>
  <r>
    <x v="47"/>
    <x v="2"/>
    <n v="14"/>
    <n v="7"/>
    <n v="2"/>
    <m/>
  </r>
  <r>
    <x v="47"/>
    <x v="32"/>
    <n v="14"/>
    <n v="7"/>
    <n v="2"/>
    <m/>
  </r>
  <r>
    <x v="47"/>
    <x v="33"/>
    <n v="14"/>
    <n v="7"/>
    <n v="2"/>
    <m/>
  </r>
  <r>
    <x v="47"/>
    <x v="34"/>
    <n v="14"/>
    <n v="7"/>
    <n v="3"/>
    <m/>
  </r>
  <r>
    <x v="47"/>
    <x v="27"/>
    <n v="14"/>
    <n v="7"/>
    <n v="3"/>
    <m/>
  </r>
  <r>
    <x v="47"/>
    <x v="11"/>
    <n v="14"/>
    <n v="7"/>
    <n v="3"/>
    <m/>
  </r>
  <r>
    <x v="47"/>
    <x v="15"/>
    <n v="14"/>
    <n v="7"/>
    <n v="3"/>
    <m/>
  </r>
  <r>
    <x v="47"/>
    <x v="17"/>
    <n v="14"/>
    <n v="7"/>
    <n v="2"/>
    <m/>
  </r>
  <r>
    <x v="47"/>
    <x v="2"/>
    <n v="14"/>
    <n v="7"/>
    <n v="2"/>
    <m/>
  </r>
  <r>
    <x v="47"/>
    <x v="32"/>
    <n v="14"/>
    <n v="7"/>
    <n v="2"/>
    <m/>
  </r>
  <r>
    <x v="47"/>
    <x v="33"/>
    <n v="14"/>
    <n v="7"/>
    <n v="2"/>
    <m/>
  </r>
  <r>
    <x v="47"/>
    <x v="34"/>
    <n v="14"/>
    <n v="7"/>
    <n v="3"/>
    <m/>
  </r>
  <r>
    <x v="47"/>
    <x v="27"/>
    <n v="14"/>
    <n v="7"/>
    <n v="3"/>
    <m/>
  </r>
  <r>
    <x v="47"/>
    <x v="11"/>
    <n v="14"/>
    <n v="7"/>
    <n v="3"/>
    <m/>
  </r>
  <r>
    <x v="47"/>
    <x v="15"/>
    <n v="14"/>
    <n v="7"/>
    <n v="3"/>
    <m/>
  </r>
  <r>
    <x v="47"/>
    <x v="17"/>
    <n v="14"/>
    <n v="7"/>
    <n v="2"/>
    <m/>
  </r>
  <r>
    <x v="47"/>
    <x v="34"/>
    <n v="15"/>
    <n v="7"/>
    <n v="3"/>
    <m/>
  </r>
  <r>
    <x v="47"/>
    <x v="27"/>
    <n v="15"/>
    <n v="7"/>
    <n v="3"/>
    <m/>
  </r>
  <r>
    <x v="47"/>
    <x v="11"/>
    <n v="14"/>
    <n v="7"/>
    <n v="3"/>
    <m/>
  </r>
  <r>
    <x v="47"/>
    <x v="15"/>
    <n v="14"/>
    <n v="7"/>
    <n v="3"/>
    <m/>
  </r>
  <r>
    <x v="48"/>
    <x v="35"/>
    <n v="543"/>
    <n v="2"/>
    <n v="1"/>
    <m/>
  </r>
  <r>
    <x v="48"/>
    <x v="27"/>
    <n v="15"/>
    <n v="2"/>
    <n v="1"/>
    <m/>
  </r>
  <r>
    <x v="48"/>
    <x v="28"/>
    <n v="14"/>
    <n v="2"/>
    <n v="1"/>
    <m/>
  </r>
  <r>
    <x v="48"/>
    <x v="29"/>
    <n v="15"/>
    <n v="2"/>
    <n v="1"/>
    <m/>
  </r>
  <r>
    <x v="48"/>
    <x v="30"/>
    <n v="15"/>
    <n v="2"/>
    <n v="1"/>
    <m/>
  </r>
  <r>
    <x v="48"/>
    <x v="31"/>
    <n v="15"/>
    <n v="2"/>
    <n v="1"/>
    <m/>
  </r>
  <r>
    <x v="48"/>
    <x v="22"/>
    <n v="14"/>
    <n v="2"/>
    <n v="1"/>
    <m/>
  </r>
  <r>
    <x v="48"/>
    <x v="24"/>
    <n v="20"/>
    <n v="2"/>
    <n v="1"/>
    <m/>
  </r>
  <r>
    <x v="48"/>
    <x v="2"/>
    <n v="18"/>
    <n v="2"/>
    <n v="1"/>
    <m/>
  </r>
  <r>
    <x v="48"/>
    <x v="34"/>
    <n v="16"/>
    <n v="2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93"/>
    <d v="1899-12-30T01:00:00"/>
    <m/>
    <m/>
    <m/>
  </r>
  <r>
    <x v="0"/>
    <x v="1"/>
    <x v="1"/>
    <n v="193"/>
    <d v="1899-12-30T01:30:00"/>
    <m/>
    <m/>
    <m/>
  </r>
  <r>
    <x v="1"/>
    <x v="2"/>
    <x v="2"/>
    <n v="192"/>
    <d v="1899-12-30T02:25:00"/>
    <m/>
    <d v="1899-12-30T00:00:00"/>
    <d v="1899-12-30T02:25:00"/>
  </r>
  <r>
    <x v="2"/>
    <x v="3"/>
    <x v="3"/>
    <n v="191"/>
    <d v="1899-12-30T00:21:00"/>
    <m/>
    <d v="1899-12-30T12:45:00"/>
    <d v="1899-12-30T13:06:00"/>
  </r>
  <r>
    <x v="3"/>
    <x v="0"/>
    <x v="0"/>
    <n v="190"/>
    <d v="1899-12-30T01:00:00"/>
    <m/>
    <m/>
    <m/>
  </r>
  <r>
    <x v="3"/>
    <x v="1"/>
    <x v="1"/>
    <n v="190"/>
    <d v="1899-12-30T01:00:00"/>
    <m/>
    <m/>
    <m/>
  </r>
  <r>
    <x v="4"/>
    <x v="0"/>
    <x v="0"/>
    <n v="189"/>
    <d v="1899-12-30T01:30:00"/>
    <m/>
    <m/>
    <m/>
  </r>
  <r>
    <x v="4"/>
    <x v="2"/>
    <x v="4"/>
    <n v="189"/>
    <d v="1899-12-30T00:30:00"/>
    <m/>
    <m/>
    <m/>
  </r>
  <r>
    <x v="5"/>
    <x v="0"/>
    <x v="0"/>
    <n v="188"/>
    <d v="1899-12-30T00:45:00"/>
    <m/>
    <m/>
    <m/>
  </r>
  <r>
    <x v="5"/>
    <x v="1"/>
    <x v="5"/>
    <n v="188"/>
    <d v="1899-12-30T01:05:00"/>
    <m/>
    <m/>
    <m/>
  </r>
  <r>
    <x v="6"/>
    <x v="0"/>
    <x v="0"/>
    <n v="187"/>
    <d v="1899-12-30T01:00:00"/>
    <m/>
    <m/>
    <m/>
  </r>
  <r>
    <x v="7"/>
    <x v="0"/>
    <x v="0"/>
    <n v="186"/>
    <d v="1899-12-30T01:00:00"/>
    <m/>
    <m/>
    <m/>
  </r>
  <r>
    <x v="8"/>
    <x v="2"/>
    <x v="6"/>
    <n v="185"/>
    <d v="1899-12-30T00:53:00"/>
    <m/>
    <d v="1899-12-30T14:37:00"/>
    <d v="1899-12-30T15:30:00"/>
  </r>
  <r>
    <x v="9"/>
    <x v="4"/>
    <x v="7"/>
    <n v="183"/>
    <d v="1899-12-30T00:45:00"/>
    <m/>
    <m/>
    <m/>
  </r>
  <r>
    <x v="10"/>
    <x v="0"/>
    <x v="0"/>
    <n v="182"/>
    <d v="1899-12-30T01:00:00"/>
    <m/>
    <m/>
    <m/>
  </r>
  <r>
    <x v="10"/>
    <x v="4"/>
    <x v="7"/>
    <n v="182"/>
    <d v="1899-12-30T00:30:00"/>
    <m/>
    <m/>
    <m/>
  </r>
  <r>
    <x v="11"/>
    <x v="0"/>
    <x v="0"/>
    <n v="181"/>
    <d v="1899-12-30T01:00:00"/>
    <m/>
    <m/>
    <m/>
  </r>
  <r>
    <x v="11"/>
    <x v="4"/>
    <x v="7"/>
    <n v="181"/>
    <d v="1899-12-30T00:30:00"/>
    <m/>
    <m/>
    <m/>
  </r>
  <r>
    <x v="11"/>
    <x v="1"/>
    <x v="1"/>
    <n v="181"/>
    <d v="1899-12-30T01:00:00"/>
    <m/>
    <m/>
    <m/>
  </r>
  <r>
    <x v="11"/>
    <x v="1"/>
    <x v="5"/>
    <n v="181"/>
    <d v="1899-12-30T01:30:00"/>
    <m/>
    <m/>
    <m/>
  </r>
  <r>
    <x v="11"/>
    <x v="5"/>
    <x v="8"/>
    <n v="181"/>
    <d v="1899-12-30T01:04:00"/>
    <m/>
    <d v="1899-12-30T19:41:00"/>
    <d v="1899-12-30T20:45:00"/>
  </r>
  <r>
    <x v="12"/>
    <x v="0"/>
    <x v="0"/>
    <n v="180"/>
    <d v="1899-12-30T01:10:00"/>
    <m/>
    <m/>
    <m/>
  </r>
  <r>
    <x v="12"/>
    <x v="5"/>
    <x v="9"/>
    <n v="180"/>
    <d v="1899-12-30T00:30:00"/>
    <m/>
    <m/>
    <m/>
  </r>
  <r>
    <x v="12"/>
    <x v="2"/>
    <x v="10"/>
    <n v="180"/>
    <d v="1899-12-30T01:00:00"/>
    <m/>
    <m/>
    <m/>
  </r>
  <r>
    <x v="13"/>
    <x v="0"/>
    <x v="0"/>
    <n v="179"/>
    <d v="1899-12-30T01:00:00"/>
    <m/>
    <m/>
    <m/>
  </r>
  <r>
    <x v="13"/>
    <x v="4"/>
    <x v="7"/>
    <n v="179"/>
    <d v="1899-12-30T00:45:00"/>
    <m/>
    <m/>
    <m/>
  </r>
  <r>
    <x v="13"/>
    <x v="2"/>
    <x v="10"/>
    <n v="179"/>
    <d v="1899-12-30T01:00:00"/>
    <m/>
    <m/>
    <m/>
  </r>
  <r>
    <x v="14"/>
    <x v="5"/>
    <x v="9"/>
    <n v="178"/>
    <d v="1899-12-30T00:30:00"/>
    <m/>
    <m/>
    <m/>
  </r>
  <r>
    <x v="14"/>
    <x v="2"/>
    <x v="10"/>
    <n v="178"/>
    <d v="1899-12-30T02:30:00"/>
    <m/>
    <m/>
    <m/>
  </r>
  <r>
    <x v="15"/>
    <x v="1"/>
    <x v="1"/>
    <n v="177"/>
    <d v="1899-12-30T00:45:00"/>
    <m/>
    <m/>
    <m/>
  </r>
  <r>
    <x v="15"/>
    <x v="1"/>
    <x v="5"/>
    <n v="177"/>
    <d v="1899-12-30T00:30:00"/>
    <m/>
    <m/>
    <m/>
  </r>
  <r>
    <x v="15"/>
    <x v="5"/>
    <x v="9"/>
    <n v="177"/>
    <d v="1899-12-30T00:45:00"/>
    <s v="初步了解mathematica"/>
    <m/>
    <m/>
  </r>
  <r>
    <x v="16"/>
    <x v="2"/>
    <x v="10"/>
    <n v="176"/>
    <d v="1899-12-30T01:00:00"/>
    <m/>
    <m/>
    <m/>
  </r>
  <r>
    <x v="16"/>
    <x v="0"/>
    <x v="0"/>
    <n v="176"/>
    <d v="1899-12-30T01:00:00"/>
    <m/>
    <m/>
    <m/>
  </r>
  <r>
    <x v="16"/>
    <x v="4"/>
    <x v="7"/>
    <n v="176"/>
    <d v="1899-12-30T00:30:00"/>
    <m/>
    <m/>
    <m/>
  </r>
  <r>
    <x v="16"/>
    <x v="6"/>
    <x v="11"/>
    <n v="176"/>
    <d v="1899-12-30T01:15:00"/>
    <m/>
    <m/>
    <m/>
  </r>
  <r>
    <x v="17"/>
    <x v="0"/>
    <x v="0"/>
    <n v="175"/>
    <d v="1899-12-30T00:30:00"/>
    <s v="第24讲是宏表函数，觉得并没有什么用，没怎么看"/>
    <m/>
    <m/>
  </r>
  <r>
    <x v="17"/>
    <x v="4"/>
    <x v="7"/>
    <n v="175"/>
    <d v="1899-12-30T00:30:00"/>
    <m/>
    <m/>
    <m/>
  </r>
  <r>
    <x v="18"/>
    <x v="0"/>
    <x v="12"/>
    <n v="174"/>
    <d v="1899-12-30T01:00:00"/>
    <m/>
    <m/>
    <m/>
  </r>
  <r>
    <x v="18"/>
    <x v="6"/>
    <x v="11"/>
    <n v="174"/>
    <d v="1899-12-30T00:45:00"/>
    <m/>
    <m/>
    <m/>
  </r>
  <r>
    <x v="19"/>
    <x v="6"/>
    <x v="11"/>
    <n v="173"/>
    <d v="1899-12-30T01:00:00"/>
    <m/>
    <m/>
    <m/>
  </r>
  <r>
    <x v="19"/>
    <x v="4"/>
    <x v="7"/>
    <n v="173"/>
    <d v="1899-12-30T00:40:00"/>
    <m/>
    <m/>
    <m/>
  </r>
  <r>
    <x v="20"/>
    <x v="6"/>
    <x v="11"/>
    <n v="172"/>
    <d v="1899-12-30T01:10:00"/>
    <m/>
    <m/>
    <m/>
  </r>
  <r>
    <x v="20"/>
    <x v="4"/>
    <x v="7"/>
    <n v="172"/>
    <d v="1899-12-30T00:30:00"/>
    <m/>
    <m/>
    <m/>
  </r>
  <r>
    <x v="21"/>
    <x v="2"/>
    <x v="13"/>
    <n v="170"/>
    <d v="1899-12-30T02:00:00"/>
    <m/>
    <m/>
    <m/>
  </r>
  <r>
    <x v="22"/>
    <x v="4"/>
    <x v="7"/>
    <n v="169"/>
    <d v="1899-12-30T00:30:00"/>
    <m/>
    <m/>
    <m/>
  </r>
  <r>
    <x v="22"/>
    <x v="0"/>
    <x v="12"/>
    <n v="169"/>
    <d v="1899-12-30T01:00:00"/>
    <m/>
    <m/>
    <m/>
  </r>
  <r>
    <x v="22"/>
    <x v="6"/>
    <x v="11"/>
    <n v="169"/>
    <d v="1899-12-30T00:30:00"/>
    <m/>
    <m/>
    <m/>
  </r>
  <r>
    <x v="22"/>
    <x v="2"/>
    <x v="13"/>
    <n v="169"/>
    <d v="1899-12-30T01:00:00"/>
    <m/>
    <m/>
    <m/>
  </r>
  <r>
    <x v="22"/>
    <x v="2"/>
    <x v="13"/>
    <n v="169"/>
    <d v="1899-12-30T00:30:00"/>
    <m/>
    <m/>
    <m/>
  </r>
  <r>
    <x v="23"/>
    <x v="6"/>
    <x v="11"/>
    <n v="168"/>
    <d v="1899-12-30T00:45:00"/>
    <m/>
    <m/>
    <m/>
  </r>
  <r>
    <x v="23"/>
    <x v="4"/>
    <x v="7"/>
    <n v="168"/>
    <d v="1899-12-30T00:30:00"/>
    <m/>
    <m/>
    <m/>
  </r>
  <r>
    <x v="23"/>
    <x v="0"/>
    <x v="12"/>
    <n v="168"/>
    <d v="1899-12-30T00:45:00"/>
    <m/>
    <m/>
    <m/>
  </r>
  <r>
    <x v="23"/>
    <x v="2"/>
    <x v="14"/>
    <n v="168"/>
    <d v="1899-12-30T01:00:00"/>
    <m/>
    <m/>
    <m/>
  </r>
  <r>
    <x v="24"/>
    <x v="6"/>
    <x v="11"/>
    <n v="167"/>
    <d v="1899-12-30T00:45:00"/>
    <m/>
    <m/>
    <m/>
  </r>
  <r>
    <x v="24"/>
    <x v="4"/>
    <x v="7"/>
    <n v="167"/>
    <d v="1899-12-30T00:30:00"/>
    <m/>
    <m/>
    <m/>
  </r>
  <r>
    <x v="24"/>
    <x v="2"/>
    <x v="13"/>
    <n v="167"/>
    <d v="1899-12-30T00:30:00"/>
    <m/>
    <m/>
    <m/>
  </r>
  <r>
    <x v="25"/>
    <x v="2"/>
    <x v="13"/>
    <n v="166"/>
    <d v="1899-12-30T01:15:00"/>
    <m/>
    <m/>
    <m/>
  </r>
  <r>
    <x v="25"/>
    <x v="6"/>
    <x v="11"/>
    <n v="166"/>
    <d v="1899-12-30T00:30:00"/>
    <m/>
    <m/>
    <m/>
  </r>
  <r>
    <x v="25"/>
    <x v="5"/>
    <x v="9"/>
    <n v="166"/>
    <d v="1899-12-30T00:45:00"/>
    <m/>
    <m/>
    <m/>
  </r>
  <r>
    <x v="25"/>
    <x v="4"/>
    <x v="7"/>
    <n v="166"/>
    <d v="1899-12-30T00:45:00"/>
    <m/>
    <m/>
    <m/>
  </r>
  <r>
    <x v="25"/>
    <x v="0"/>
    <x v="12"/>
    <n v="166"/>
    <d v="1899-12-30T01:00:00"/>
    <m/>
    <m/>
    <m/>
  </r>
  <r>
    <x v="25"/>
    <x v="2"/>
    <x v="14"/>
    <n v="166"/>
    <d v="1899-12-30T02:00:00"/>
    <m/>
    <m/>
    <m/>
  </r>
  <r>
    <x v="26"/>
    <x v="6"/>
    <x v="11"/>
    <n v="165"/>
    <d v="1899-12-30T00:50:00"/>
    <m/>
    <m/>
    <m/>
  </r>
  <r>
    <x v="26"/>
    <x v="4"/>
    <x v="7"/>
    <n v="165"/>
    <d v="1899-12-30T00:40:00"/>
    <m/>
    <m/>
    <m/>
  </r>
  <r>
    <x v="26"/>
    <x v="2"/>
    <x v="10"/>
    <n v="165"/>
    <d v="1899-12-30T00:40:00"/>
    <m/>
    <m/>
    <m/>
  </r>
  <r>
    <x v="26"/>
    <x v="0"/>
    <x v="12"/>
    <n v="165"/>
    <d v="1899-12-30T01:00:00"/>
    <m/>
    <m/>
    <m/>
  </r>
  <r>
    <x v="26"/>
    <x v="2"/>
    <x v="14"/>
    <n v="165"/>
    <d v="1899-12-30T02:00:00"/>
    <m/>
    <m/>
    <m/>
  </r>
  <r>
    <x v="27"/>
    <x v="2"/>
    <x v="14"/>
    <n v="164"/>
    <d v="1899-12-30T01:25:00"/>
    <s v="学习起来比较困难，搁浅"/>
    <m/>
    <m/>
  </r>
  <r>
    <x v="28"/>
    <x v="2"/>
    <x v="13"/>
    <n v="163"/>
    <d v="1899-12-30T00:30:00"/>
    <m/>
    <m/>
    <m/>
  </r>
  <r>
    <x v="28"/>
    <x v="4"/>
    <x v="7"/>
    <n v="163"/>
    <d v="1899-12-30T00:30:00"/>
    <m/>
    <m/>
    <m/>
  </r>
  <r>
    <x v="29"/>
    <x v="4"/>
    <x v="7"/>
    <n v="162"/>
    <d v="1899-12-30T00:35:00"/>
    <m/>
    <m/>
    <m/>
  </r>
  <r>
    <x v="29"/>
    <x v="0"/>
    <x v="12"/>
    <n v="162"/>
    <d v="1899-12-30T00:30:00"/>
    <m/>
    <m/>
    <m/>
  </r>
  <r>
    <x v="29"/>
    <x v="2"/>
    <x v="13"/>
    <n v="162"/>
    <d v="1899-12-30T00:45:00"/>
    <m/>
    <m/>
    <m/>
  </r>
  <r>
    <x v="30"/>
    <x v="4"/>
    <x v="7"/>
    <n v="161"/>
    <d v="1899-12-30T00:45:00"/>
    <m/>
    <m/>
    <m/>
  </r>
  <r>
    <x v="30"/>
    <x v="6"/>
    <x v="11"/>
    <n v="161"/>
    <d v="1899-12-30T01:00:00"/>
    <m/>
    <m/>
    <m/>
  </r>
  <r>
    <x v="31"/>
    <x v="4"/>
    <x v="7"/>
    <n v="160"/>
    <d v="1899-12-30T00:45:00"/>
    <m/>
    <m/>
    <m/>
  </r>
  <r>
    <x v="31"/>
    <x v="6"/>
    <x v="11"/>
    <n v="160"/>
    <d v="1899-12-30T01:00:00"/>
    <m/>
    <m/>
    <m/>
  </r>
  <r>
    <x v="32"/>
    <x v="6"/>
    <x v="11"/>
    <n v="159"/>
    <d v="1899-12-30T01:15:00"/>
    <m/>
    <m/>
    <m/>
  </r>
  <r>
    <x v="32"/>
    <x v="0"/>
    <x v="12"/>
    <n v="159"/>
    <d v="1899-12-30T01:30:00"/>
    <m/>
    <m/>
    <m/>
  </r>
  <r>
    <x v="32"/>
    <x v="5"/>
    <x v="9"/>
    <n v="159"/>
    <d v="1899-12-30T00:30:00"/>
    <m/>
    <m/>
    <m/>
  </r>
  <r>
    <x v="33"/>
    <x v="4"/>
    <x v="7"/>
    <n v="158"/>
    <d v="1899-12-30T00:45:00"/>
    <m/>
    <m/>
    <m/>
  </r>
  <r>
    <x v="34"/>
    <x v="5"/>
    <x v="8"/>
    <n v="156"/>
    <d v="1899-12-30T01:08:00"/>
    <m/>
    <d v="1899-12-30T11:02:00"/>
    <d v="1899-12-30T12:10:00"/>
  </r>
  <r>
    <x v="34"/>
    <x v="5"/>
    <x v="8"/>
    <n v="156"/>
    <d v="1899-12-30T01:00:00"/>
    <m/>
    <m/>
    <m/>
  </r>
  <r>
    <x v="35"/>
    <x v="4"/>
    <x v="7"/>
    <n v="155"/>
    <d v="1899-12-30T00:40:00"/>
    <m/>
    <m/>
    <m/>
  </r>
  <r>
    <x v="35"/>
    <x v="6"/>
    <x v="11"/>
    <n v="155"/>
    <d v="1899-12-30T01:00:00"/>
    <m/>
    <m/>
    <m/>
  </r>
  <r>
    <x v="36"/>
    <x v="6"/>
    <x v="11"/>
    <n v="154"/>
    <d v="1899-12-30T01:00:00"/>
    <m/>
    <m/>
    <m/>
  </r>
  <r>
    <x v="36"/>
    <x v="2"/>
    <x v="15"/>
    <n v="154"/>
    <d v="1899-12-30T01:00:00"/>
    <m/>
    <m/>
    <m/>
  </r>
  <r>
    <x v="36"/>
    <x v="4"/>
    <x v="7"/>
    <n v="154"/>
    <d v="1899-12-30T00:30:00"/>
    <m/>
    <m/>
    <m/>
  </r>
  <r>
    <x v="36"/>
    <x v="2"/>
    <x v="13"/>
    <n v="154"/>
    <d v="1899-12-30T02:00:00"/>
    <s v="9.学习OS SCHED  PY2EXE库"/>
    <m/>
    <m/>
  </r>
  <r>
    <x v="37"/>
    <x v="0"/>
    <x v="12"/>
    <n v="153"/>
    <d v="1899-12-30T01:00:00"/>
    <m/>
    <m/>
    <m/>
  </r>
  <r>
    <x v="37"/>
    <x v="4"/>
    <x v="7"/>
    <n v="153"/>
    <d v="1899-12-30T00:35:00"/>
    <m/>
    <m/>
    <m/>
  </r>
  <r>
    <x v="37"/>
    <x v="6"/>
    <x v="11"/>
    <n v="153"/>
    <d v="1899-12-30T01:00:00"/>
    <m/>
    <m/>
    <m/>
  </r>
  <r>
    <x v="37"/>
    <x v="2"/>
    <x v="13"/>
    <n v="153"/>
    <d v="1899-12-30T01:30:00"/>
    <m/>
    <m/>
    <m/>
  </r>
  <r>
    <x v="38"/>
    <x v="6"/>
    <x v="11"/>
    <n v="152"/>
    <d v="1899-12-30T00:40:00"/>
    <m/>
    <m/>
    <m/>
  </r>
  <r>
    <x v="38"/>
    <x v="4"/>
    <x v="7"/>
    <n v="152"/>
    <d v="1899-12-30T00:45:00"/>
    <m/>
    <m/>
    <m/>
  </r>
  <r>
    <x v="38"/>
    <x v="0"/>
    <x v="12"/>
    <n v="152"/>
    <d v="1899-12-30T00:30:00"/>
    <m/>
    <m/>
    <m/>
  </r>
  <r>
    <x v="39"/>
    <x v="6"/>
    <x v="11"/>
    <n v="151"/>
    <d v="1899-12-30T00:30:00"/>
    <m/>
    <m/>
    <m/>
  </r>
  <r>
    <x v="39"/>
    <x v="4"/>
    <x v="7"/>
    <n v="151"/>
    <d v="1899-12-30T00:30:00"/>
    <m/>
    <m/>
    <m/>
  </r>
  <r>
    <x v="39"/>
    <x v="0"/>
    <x v="12"/>
    <n v="151"/>
    <d v="1899-12-30T00:45:00"/>
    <m/>
    <m/>
    <m/>
  </r>
  <r>
    <x v="40"/>
    <x v="2"/>
    <x v="16"/>
    <n v="149"/>
    <d v="1899-12-30T04:00:00"/>
    <s v="C6 Data loading, storage, and file formats "/>
    <m/>
    <m/>
  </r>
  <r>
    <x v="41"/>
    <x v="2"/>
    <x v="16"/>
    <n v="148"/>
    <d v="1899-12-30T02:30:00"/>
    <m/>
    <m/>
    <m/>
  </r>
  <r>
    <x v="41"/>
    <x v="4"/>
    <x v="7"/>
    <n v="148"/>
    <d v="1899-12-30T00:30:00"/>
    <m/>
    <m/>
    <m/>
  </r>
  <r>
    <x v="42"/>
    <x v="4"/>
    <x v="7"/>
    <n v="147"/>
    <d v="1899-12-30T00:30:00"/>
    <m/>
    <m/>
    <m/>
  </r>
  <r>
    <x v="43"/>
    <x v="2"/>
    <x v="16"/>
    <n v="146"/>
    <d v="1899-12-30T02:30:00"/>
    <s v="8.matplotlib"/>
    <m/>
    <m/>
  </r>
  <r>
    <x v="44"/>
    <x v="2"/>
    <x v="16"/>
    <n v="145"/>
    <d v="1899-12-30T02:30:00"/>
    <s v="8.matplotlib"/>
    <m/>
    <m/>
  </r>
  <r>
    <x v="45"/>
    <x v="4"/>
    <x v="7"/>
    <n v="141"/>
    <d v="1899-12-30T00:45:00"/>
    <m/>
    <m/>
    <m/>
  </r>
  <r>
    <x v="45"/>
    <x v="2"/>
    <x v="2"/>
    <n v="141"/>
    <m/>
    <s v="p14"/>
    <m/>
    <m/>
  </r>
  <r>
    <x v="46"/>
    <x v="4"/>
    <x v="7"/>
    <n v="140"/>
    <d v="1899-12-30T00:45:00"/>
    <m/>
    <m/>
    <m/>
  </r>
  <r>
    <x v="46"/>
    <x v="2"/>
    <x v="17"/>
    <n v="140"/>
    <d v="1899-12-30T05:00:00"/>
    <m/>
    <m/>
    <m/>
  </r>
  <r>
    <x v="47"/>
    <x v="4"/>
    <x v="7"/>
    <n v="139"/>
    <d v="1899-12-30T00:30:00"/>
    <m/>
    <m/>
    <m/>
  </r>
  <r>
    <x v="47"/>
    <x v="6"/>
    <x v="11"/>
    <n v="139"/>
    <d v="1899-12-30T01:00:00"/>
    <m/>
    <m/>
    <m/>
  </r>
  <r>
    <x v="48"/>
    <x v="6"/>
    <x v="11"/>
    <n v="137"/>
    <d v="1899-12-30T00:45:00"/>
    <m/>
    <m/>
    <m/>
  </r>
  <r>
    <x v="49"/>
    <x v="7"/>
    <x v="18"/>
    <n v="5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101">
      <pivotArea outline="0" collapsedLevelsAreSubtotals="1" fieldPosition="0"/>
    </format>
    <format dxfId="100">
      <pivotArea type="all" dataOnly="0" outline="0" fieldPosition="0"/>
    </format>
    <format dxfId="99">
      <pivotArea field="0" type="button" dataOnly="0" labelOnly="1" outline="0" axis="axisCol" fieldPosition="0"/>
    </format>
    <format dxfId="9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7">
      <pivotArea dataOnly="0" labelOnly="1" grandCol="1" outline="0" fieldPosition="0"/>
    </format>
    <format dxfId="96">
      <pivotArea field="0" type="button" dataOnly="0" labelOnly="1" outline="0" axis="axisCol" fieldPosition="0"/>
    </format>
    <format dxfId="9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4">
      <pivotArea dataOnly="0" labelOnly="1" grandCol="1" outline="0" fieldPosition="0"/>
    </format>
    <format dxfId="93">
      <pivotArea dataOnly="0" labelOnly="1" grandCol="1" outline="0" fieldPosition="0"/>
    </format>
    <format dxfId="9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1">
      <pivotArea dataOnly="0" labelOnly="1" grandRow="1" outline="0" fieldPosition="0"/>
    </format>
    <format dxfId="90">
      <pivotArea field="2" type="button" dataOnly="0" labelOnly="1" outline="0" axis="axisRow" fieldPosition="1"/>
    </format>
    <format dxfId="89">
      <pivotArea dataOnly="0" labelOnly="1" fieldPosition="0">
        <references count="1">
          <reference field="2" count="1">
            <x v="0"/>
          </reference>
        </references>
      </pivotArea>
    </format>
    <format dxfId="8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7">
      <pivotArea field="2" type="button" dataOnly="0" labelOnly="1" outline="0" axis="axisRow" fieldPosition="1"/>
    </format>
    <format dxfId="86">
      <pivotArea dataOnly="0" labelOnly="1" fieldPosition="0">
        <references count="1">
          <reference field="2" count="1">
            <x v="15"/>
          </reference>
        </references>
      </pivotArea>
    </format>
    <format dxfId="85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4">
      <pivotArea field="0" type="button" dataOnly="0" labelOnly="1" outline="0" axis="axisCol" fieldPosition="0"/>
    </format>
    <format dxfId="83">
      <pivotArea dataOnly="0" labelOnly="1" fieldPosition="0">
        <references count="1">
          <reference field="0" count="1">
            <x v="21"/>
          </reference>
        </references>
      </pivotArea>
    </format>
    <format dxfId="82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1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0">
      <pivotArea dataOnly="0" labelOnly="1" fieldPosition="0">
        <references count="1">
          <reference field="0" count="1">
            <x v="21"/>
          </reference>
        </references>
      </pivotArea>
    </format>
    <format dxfId="79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78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91" maxVal="4249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403:J415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8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36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11">
    <i>
      <x v="3"/>
    </i>
    <i>
      <x v="22"/>
    </i>
    <i>
      <x v="24"/>
    </i>
    <i>
      <x v="27"/>
    </i>
    <i>
      <x v="28"/>
    </i>
    <i>
      <x v="29"/>
    </i>
    <i>
      <x v="30"/>
    </i>
    <i>
      <x v="31"/>
    </i>
    <i>
      <x v="34"/>
    </i>
    <i>
      <x v="35"/>
    </i>
    <i t="grand">
      <x/>
    </i>
  </rowItems>
  <colFields count="1">
    <field x="0"/>
  </colFields>
  <colItems count="2">
    <i>
      <x v="142"/>
    </i>
    <i t="grand">
      <x/>
    </i>
  </colItems>
  <dataFields count="1">
    <dataField name="求和项:次数/时长" fld="2" baseField="1" baseItem="22" numFmtId="177"/>
  </dataFields>
  <formats count="5">
    <format dxfId="62">
      <pivotArea type="all" dataOnly="0" outline="0" fieldPosition="0"/>
    </format>
    <format dxfId="61">
      <pivotArea type="origin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58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91" maxVal="4249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08"/>
    <tableColumn id="2" name="编号" dataDxfId="107"/>
    <tableColumn id="3" name="学习内容" dataDxfId="106"/>
    <tableColumn id="4" name="状态" dataDxfId="105"/>
    <tableColumn id="5" name="学习时长" dataDxfId="104"/>
    <tableColumn id="6" name="预计课时" dataDxfId="103"/>
    <tableColumn id="7" name="完成百分比" dataDxfId="102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77" totalsRowDxfId="76"/>
    <tableColumn id="8" name="分类" dataDxfId="75" totalsRowDxfId="74">
      <calculatedColumnFormula>INDEX(学习总体!A:A,MATCH(表2[[#This Row],[科目]],学习总体!C:C,0))</calculatedColumnFormula>
    </tableColumn>
    <tableColumn id="2" name="科目" totalsRowDxfId="73"/>
    <tableColumn id="3" name="距离今天" dataDxfId="72" totalsRowDxfId="71">
      <calculatedColumnFormula>TODAY()-A2</calculatedColumnFormula>
    </tableColumn>
    <tableColumn id="4" name="时长" dataDxfId="70" totalsRowDxfId="69"/>
    <tableColumn id="5" name="备注" dataDxfId="68" totalsRowDxfId="67"/>
    <tableColumn id="6" name="开始时间" dataDxfId="66" totalsRowDxfId="65"/>
    <tableColumn id="7" name="结束时间" totalsRowFunction="count" dataDxfId="64" totalsRow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433" totalsRowShown="0">
  <autoFilter ref="A1:F433"/>
  <tableColumns count="6">
    <tableColumn id="1" name="时间" dataDxfId="57"/>
    <tableColumn id="2" name="项目"/>
    <tableColumn id="4" name="次数/时长" dataDxfId="56"/>
    <tableColumn id="3" name="距离今天" dataDxfId="55">
      <calculatedColumnFormula>TODAY()-ROUNDDOWN(A2,0)</calculatedColumnFormula>
    </tableColumn>
    <tableColumn id="5" name="本日组数" dataDxfId="54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B40" totalsRowShown="0" headerRowDxfId="53" dataDxfId="52">
  <autoFilter ref="A1:B40"/>
  <tableColumns count="2">
    <tableColumn id="1" name="列1" dataDxfId="51"/>
    <tableColumn id="2" name="列2" dataDxfId="5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29" sqref="F29: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6" width="38.5" style="27" customWidth="1"/>
    <col min="7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-129</v>
      </c>
      <c r="H3" s="10">
        <f ca="1">H2-TODAY()</f>
        <v>-85</v>
      </c>
      <c r="I3" s="10">
        <f ca="1">I2-TODAY()</f>
        <v>-25</v>
      </c>
      <c r="J3" s="10">
        <f ca="1">J2-TODAY()</f>
        <v>53</v>
      </c>
      <c r="K3" s="10">
        <f ca="1">K2-TODAY()</f>
        <v>235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  <c r="F29" s="27" t="s">
        <v>248</v>
      </c>
    </row>
    <row r="30" spans="1:7" x14ac:dyDescent="0.2">
      <c r="A30" s="26" t="s">
        <v>118</v>
      </c>
      <c r="F30" s="27" t="s">
        <v>249</v>
      </c>
    </row>
    <row r="31" spans="1:7" x14ac:dyDescent="0.2">
      <c r="A31" s="26" t="s">
        <v>119</v>
      </c>
      <c r="F31" s="27" t="s">
        <v>250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20" priority="1">
      <formula>$A1="graduate"</formula>
    </cfRule>
    <cfRule type="expression" dxfId="19" priority="2">
      <formula>$A1="CS"</formula>
    </cfRule>
    <cfRule type="expression" dxfId="18" priority="3">
      <formula>$A1="python"</formula>
    </cfRule>
  </conditionalFormatting>
  <conditionalFormatting sqref="B22:D22">
    <cfRule type="expression" dxfId="17" priority="13">
      <formula>$A30="graduate"</formula>
    </cfRule>
    <cfRule type="expression" dxfId="16" priority="14">
      <formula>$A30="CS"</formula>
    </cfRule>
    <cfRule type="expression" dxfId="15" priority="15">
      <formula>$A30="python"</formula>
    </cfRule>
  </conditionalFormatting>
  <conditionalFormatting sqref="D35">
    <cfRule type="expression" dxfId="14" priority="19">
      <formula>#REF!="graduate"</formula>
    </cfRule>
    <cfRule type="expression" dxfId="13" priority="20">
      <formula>#REF!="CS"</formula>
    </cfRule>
    <cfRule type="expression" dxfId="12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13" activePane="bottomLeft" state="frozen"/>
      <selection pane="bottomLeft" activeCell="A2" sqref="A2:C35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238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1" priority="6">
      <formula>$D1=1</formula>
    </cfRule>
  </conditionalFormatting>
  <conditionalFormatting sqref="A1:G1048576">
    <cfRule type="expression" dxfId="1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193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193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192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191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190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190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189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189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188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188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187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186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185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183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182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182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181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181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181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181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181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180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180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180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179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179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179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178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178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177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177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177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176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176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176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176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175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175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174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174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173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173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172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172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170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169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169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169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169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169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168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168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168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168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167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167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167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166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166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166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166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166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166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165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165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165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165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165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164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163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163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162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162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162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161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161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160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160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159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159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159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158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156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156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155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155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154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154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154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154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153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153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153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153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152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152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152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151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151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151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149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148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148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147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146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145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141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141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140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140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139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139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137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59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New Concept English 3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9" priority="13">
      <formula>$A1=TODAY()-1</formula>
    </cfRule>
    <cfRule type="expression" dxfId="8" priority="14">
      <formula>$A1=TODAY()</formula>
    </cfRule>
  </conditionalFormatting>
  <conditionalFormatting sqref="A99:A101 D99:H101">
    <cfRule type="expression" dxfId="7" priority="5">
      <formula>$A99=TODAY()-1</formula>
    </cfRule>
    <cfRule type="expression" dxfId="6" priority="6">
      <formula>$A99=TODAY()</formula>
    </cfRule>
  </conditionalFormatting>
  <conditionalFormatting sqref="C99:C100">
    <cfRule type="expression" dxfId="5" priority="3">
      <formula>$A99=TODAY()-1</formula>
    </cfRule>
    <cfRule type="expression" dxfId="4" priority="4">
      <formula>$A99=TODAY()</formula>
    </cfRule>
  </conditionalFormatting>
  <conditionalFormatting sqref="C101">
    <cfRule type="expression" dxfId="3" priority="1">
      <formula>$A101=TODAY()-1</formula>
    </cfRule>
    <cfRule type="expression" dxfId="2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48"/>
  <sheetViews>
    <sheetView workbookViewId="0">
      <selection activeCell="J4" sqref="J4:J5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11" bestFit="1" customWidth="1"/>
    <col min="11" max="11" width="5.25" customWidth="1"/>
    <col min="12" max="12" width="15.125" bestFit="1" customWidth="1"/>
  </cols>
  <sheetData>
    <row r="1" spans="1:12" x14ac:dyDescent="0.2">
      <c r="A1" s="36" t="s">
        <v>128</v>
      </c>
      <c r="B1" s="36" t="s">
        <v>129</v>
      </c>
      <c r="C1" s="57" t="s">
        <v>142</v>
      </c>
    </row>
    <row r="2" spans="1:12" x14ac:dyDescent="0.2">
      <c r="A2" s="36"/>
      <c r="B2" s="36"/>
    </row>
    <row r="3" spans="1:12" x14ac:dyDescent="0.2">
      <c r="A3" s="36"/>
      <c r="B3" s="36" t="s">
        <v>135</v>
      </c>
      <c r="C3" s="57">
        <v>1</v>
      </c>
      <c r="G3" s="36" t="s">
        <v>193</v>
      </c>
      <c r="J3" s="36" t="s">
        <v>267</v>
      </c>
      <c r="L3" s="36" t="s">
        <v>284</v>
      </c>
    </row>
    <row r="4" spans="1:12" x14ac:dyDescent="0.2">
      <c r="B4" t="s">
        <v>131</v>
      </c>
      <c r="C4" s="57">
        <v>1</v>
      </c>
      <c r="H4" s="36" t="s">
        <v>239</v>
      </c>
      <c r="I4" s="36" t="s">
        <v>230</v>
      </c>
      <c r="J4" s="68" t="s">
        <v>199</v>
      </c>
      <c r="L4" t="s">
        <v>276</v>
      </c>
    </row>
    <row r="5" spans="1:12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231</v>
      </c>
      <c r="J5" s="68" t="s">
        <v>200</v>
      </c>
      <c r="L5" t="s">
        <v>277</v>
      </c>
    </row>
    <row r="6" spans="1:12" x14ac:dyDescent="0.2">
      <c r="B6" s="36" t="s">
        <v>185</v>
      </c>
      <c r="C6" s="57">
        <v>1</v>
      </c>
      <c r="G6" s="36" t="s">
        <v>221</v>
      </c>
      <c r="I6" s="36" t="s">
        <v>240</v>
      </c>
      <c r="J6" s="67" t="s">
        <v>132</v>
      </c>
      <c r="L6" t="s">
        <v>278</v>
      </c>
    </row>
    <row r="7" spans="1:12" x14ac:dyDescent="0.2">
      <c r="B7" t="s">
        <v>132</v>
      </c>
      <c r="C7" s="57">
        <v>1</v>
      </c>
      <c r="G7" s="36" t="s">
        <v>230</v>
      </c>
      <c r="I7" s="36" t="s">
        <v>223</v>
      </c>
      <c r="J7" s="67" t="s">
        <v>131</v>
      </c>
      <c r="L7" t="s">
        <v>279</v>
      </c>
    </row>
    <row r="8" spans="1:12" x14ac:dyDescent="0.2">
      <c r="B8" t="s">
        <v>133</v>
      </c>
      <c r="C8" s="57">
        <v>1</v>
      </c>
      <c r="G8" s="36" t="s">
        <v>231</v>
      </c>
      <c r="I8" s="36" t="s">
        <v>285</v>
      </c>
      <c r="J8" s="69" t="s">
        <v>268</v>
      </c>
      <c r="L8" t="s">
        <v>280</v>
      </c>
    </row>
    <row r="9" spans="1:12" x14ac:dyDescent="0.2">
      <c r="B9" t="s">
        <v>134</v>
      </c>
      <c r="C9" s="57">
        <v>1</v>
      </c>
      <c r="G9" t="s">
        <v>132</v>
      </c>
      <c r="L9" t="s">
        <v>281</v>
      </c>
    </row>
    <row r="10" spans="1:12" x14ac:dyDescent="0.2">
      <c r="B10" t="s">
        <v>141</v>
      </c>
      <c r="C10" s="57">
        <v>1</v>
      </c>
      <c r="F10" s="36" t="s">
        <v>196</v>
      </c>
      <c r="G10" s="36" t="s">
        <v>223</v>
      </c>
      <c r="L10" t="s">
        <v>282</v>
      </c>
    </row>
    <row r="11" spans="1:12" x14ac:dyDescent="0.2">
      <c r="B11" s="36" t="s">
        <v>168</v>
      </c>
      <c r="C11" s="57">
        <v>1</v>
      </c>
      <c r="G11" s="36" t="s">
        <v>232</v>
      </c>
      <c r="L11" t="s">
        <v>283</v>
      </c>
    </row>
    <row r="12" spans="1:12" x14ac:dyDescent="0.2">
      <c r="B12" s="36" t="s">
        <v>177</v>
      </c>
      <c r="C12" s="57">
        <v>1</v>
      </c>
      <c r="G12" s="36" t="s">
        <v>233</v>
      </c>
    </row>
    <row r="13" spans="1:12" x14ac:dyDescent="0.2">
      <c r="B13" s="36" t="s">
        <v>154</v>
      </c>
      <c r="C13" s="57">
        <v>3</v>
      </c>
      <c r="G13" s="36" t="s">
        <v>234</v>
      </c>
    </row>
    <row r="14" spans="1:12" x14ac:dyDescent="0.2">
      <c r="B14" s="36" t="s">
        <v>178</v>
      </c>
      <c r="C14" s="57">
        <v>1</v>
      </c>
      <c r="G14" s="36" t="s">
        <v>235</v>
      </c>
    </row>
    <row r="15" spans="1:12" x14ac:dyDescent="0.2">
      <c r="B15" s="36" t="s">
        <v>187</v>
      </c>
      <c r="C15" s="57">
        <v>1</v>
      </c>
      <c r="E15" s="37"/>
      <c r="G15" s="36" t="s">
        <v>236</v>
      </c>
    </row>
    <row r="16" spans="1:12" x14ac:dyDescent="0.2">
      <c r="B16" s="36" t="s">
        <v>191</v>
      </c>
      <c r="C16" s="57">
        <v>1</v>
      </c>
      <c r="E16" s="35"/>
      <c r="G16" s="36" t="s">
        <v>237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230</v>
      </c>
      <c r="G31" s="36" t="s">
        <v>212</v>
      </c>
    </row>
    <row r="32" spans="2:7" x14ac:dyDescent="0.2">
      <c r="B32" s="36" t="s">
        <v>231</v>
      </c>
      <c r="G32" s="36" t="s">
        <v>214</v>
      </c>
    </row>
    <row r="33" spans="2:2" x14ac:dyDescent="0.2">
      <c r="B33" s="36" t="s">
        <v>232</v>
      </c>
    </row>
    <row r="34" spans="2:2" x14ac:dyDescent="0.2">
      <c r="B34" s="36" t="s">
        <v>233</v>
      </c>
    </row>
    <row r="35" spans="2:2" x14ac:dyDescent="0.2">
      <c r="B35" s="36" t="s">
        <v>234</v>
      </c>
    </row>
    <row r="36" spans="2:2" x14ac:dyDescent="0.2">
      <c r="B36" s="36" t="s">
        <v>235</v>
      </c>
    </row>
    <row r="37" spans="2:2" x14ac:dyDescent="0.2">
      <c r="B37" s="36" t="s">
        <v>236</v>
      </c>
    </row>
    <row r="38" spans="2:2" x14ac:dyDescent="0.2">
      <c r="B38" s="36" t="s">
        <v>237</v>
      </c>
    </row>
    <row r="39" spans="2:2" x14ac:dyDescent="0.2">
      <c r="B39" s="36" t="s">
        <v>240</v>
      </c>
    </row>
    <row r="40" spans="2:2" x14ac:dyDescent="0.2">
      <c r="B40" s="36" t="s">
        <v>245</v>
      </c>
    </row>
    <row r="41" spans="2:2" x14ac:dyDescent="0.2">
      <c r="B41" t="s">
        <v>276</v>
      </c>
    </row>
    <row r="42" spans="2:2" x14ac:dyDescent="0.2">
      <c r="B42" t="s">
        <v>277</v>
      </c>
    </row>
    <row r="43" spans="2:2" x14ac:dyDescent="0.2">
      <c r="B43" t="s">
        <v>278</v>
      </c>
    </row>
    <row r="44" spans="2:2" x14ac:dyDescent="0.2">
      <c r="B44" t="s">
        <v>279</v>
      </c>
    </row>
    <row r="45" spans="2:2" x14ac:dyDescent="0.2">
      <c r="B45" t="s">
        <v>280</v>
      </c>
    </row>
    <row r="46" spans="2:2" x14ac:dyDescent="0.2">
      <c r="B46" t="s">
        <v>281</v>
      </c>
    </row>
    <row r="47" spans="2:2" x14ac:dyDescent="0.2">
      <c r="B47" t="s">
        <v>282</v>
      </c>
    </row>
    <row r="48" spans="2:2" x14ac:dyDescent="0.2">
      <c r="B48" t="s">
        <v>283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433"/>
  <sheetViews>
    <sheetView tabSelected="1" topLeftCell="A413" workbookViewId="0">
      <selection activeCell="C431" sqref="C431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170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170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170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170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170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170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170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170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168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168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168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168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168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168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167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166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166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165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165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165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163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163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163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163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163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162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162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162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161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161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161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160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158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158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158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158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158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158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157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157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155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155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147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147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147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147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147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147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147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147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147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140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140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140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140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140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140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140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140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139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139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139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139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139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139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139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139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139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121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121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121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115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115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115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112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112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112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112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112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112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106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106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106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106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106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106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106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106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106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106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106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106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89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77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77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77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77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77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77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77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77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75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75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75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75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75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75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75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66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66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66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66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66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66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66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66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66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66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66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66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66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66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66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66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66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66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66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66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66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66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66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66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66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66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65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65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65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65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65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65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65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65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65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65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65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65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63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63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63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63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63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63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63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63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63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63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63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63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63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63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63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59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59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59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59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59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59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59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59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59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59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59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59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59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59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52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52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51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51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51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232</v>
      </c>
      <c r="C182" s="64">
        <v>15</v>
      </c>
      <c r="D182" s="39">
        <f t="shared" ref="D182:D187" ca="1" si="22">TODAY()-ROUNDDOWN(A182,0)</f>
        <v>51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233</v>
      </c>
      <c r="C183" s="64">
        <v>15</v>
      </c>
      <c r="D183" s="39">
        <f t="shared" ca="1" si="22"/>
        <v>51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234</v>
      </c>
      <c r="C184" s="64">
        <v>15</v>
      </c>
      <c r="D184" s="39">
        <f t="shared" ca="1" si="22"/>
        <v>51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235</v>
      </c>
      <c r="C185" s="64">
        <v>15</v>
      </c>
      <c r="D185" s="39">
        <f t="shared" ca="1" si="22"/>
        <v>51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236</v>
      </c>
      <c r="C186" s="64">
        <v>15</v>
      </c>
      <c r="D186" s="39">
        <f t="shared" ca="1" si="22"/>
        <v>51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237</v>
      </c>
      <c r="C187" s="64">
        <v>15</v>
      </c>
      <c r="D187" s="39">
        <f t="shared" ca="1" si="22"/>
        <v>51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51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232</v>
      </c>
      <c r="C189" s="64">
        <v>27</v>
      </c>
      <c r="D189" s="39">
        <f t="shared" ca="1" si="23"/>
        <v>51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233</v>
      </c>
      <c r="C190" s="64">
        <v>20</v>
      </c>
      <c r="D190" s="39">
        <f t="shared" ca="1" si="23"/>
        <v>51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234</v>
      </c>
      <c r="C191" s="64">
        <v>17</v>
      </c>
      <c r="D191" s="39">
        <f t="shared" ca="1" si="23"/>
        <v>51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235</v>
      </c>
      <c r="C192" s="64">
        <v>16</v>
      </c>
      <c r="D192" s="39">
        <f t="shared" ca="1" si="23"/>
        <v>51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236</v>
      </c>
      <c r="C193" s="64">
        <v>20</v>
      </c>
      <c r="D193" s="39">
        <f t="shared" ca="1" si="23"/>
        <v>51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237</v>
      </c>
      <c r="C194" s="64">
        <v>18</v>
      </c>
      <c r="D194" s="39">
        <f t="shared" ca="1" si="23"/>
        <v>51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230</v>
      </c>
      <c r="C195" s="64">
        <v>20</v>
      </c>
      <c r="D195" s="39">
        <f t="shared" ref="D195:D196" ca="1" si="24">TODAY()-ROUNDDOWN(A195,0)</f>
        <v>51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231</v>
      </c>
      <c r="C196" s="64">
        <v>20</v>
      </c>
      <c r="D196" s="39">
        <f t="shared" ca="1" si="24"/>
        <v>51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51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232</v>
      </c>
      <c r="C198" s="64">
        <v>20</v>
      </c>
      <c r="D198" s="39">
        <f t="shared" ca="1" si="25"/>
        <v>51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233</v>
      </c>
      <c r="C199" s="64">
        <v>14</v>
      </c>
      <c r="D199" s="39">
        <f t="shared" ca="1" si="25"/>
        <v>51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234</v>
      </c>
      <c r="C200" s="64">
        <v>18</v>
      </c>
      <c r="D200" s="39">
        <f t="shared" ca="1" si="25"/>
        <v>51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235</v>
      </c>
      <c r="C201" s="64">
        <v>16</v>
      </c>
      <c r="D201" s="39">
        <f t="shared" ca="1" si="25"/>
        <v>51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236</v>
      </c>
      <c r="C202" s="64">
        <v>20</v>
      </c>
      <c r="D202" s="39">
        <f t="shared" ca="1" si="25"/>
        <v>51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237</v>
      </c>
      <c r="C203" s="64">
        <v>20</v>
      </c>
      <c r="D203" s="39">
        <f t="shared" ca="1" si="25"/>
        <v>51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230</v>
      </c>
      <c r="C204" s="64">
        <v>20</v>
      </c>
      <c r="D204" s="39">
        <f t="shared" ref="D204:D205" ca="1" si="26">TODAY()-ROUNDDOWN(A204,0)</f>
        <v>51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231</v>
      </c>
      <c r="C205" s="64">
        <v>20</v>
      </c>
      <c r="D205" s="39">
        <f t="shared" ca="1" si="26"/>
        <v>51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45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45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45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45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45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45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45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45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45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45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45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45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45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45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45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45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45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45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45</v>
      </c>
      <c r="E224" s="55">
        <f>COUNTIFS(A:A,表1[[#This Row],[时间]],B:B,表1[[#This Row],[项目]])</f>
        <v>3</v>
      </c>
    </row>
    <row r="225" spans="1:5" x14ac:dyDescent="0.2">
      <c r="A225" s="54">
        <v>42448</v>
      </c>
      <c r="B225" s="36" t="s">
        <v>199</v>
      </c>
      <c r="C225" s="64">
        <v>12</v>
      </c>
      <c r="D225" s="39">
        <f t="shared" ca="1" si="29"/>
        <v>45</v>
      </c>
      <c r="E225" s="55">
        <f>COUNTIFS(A:A,表1[[#This Row],[时间]],B:B,表1[[#This Row],[项目]])</f>
        <v>3</v>
      </c>
    </row>
    <row r="226" spans="1:5" x14ac:dyDescent="0.2">
      <c r="A226" s="54">
        <v>42448</v>
      </c>
      <c r="B226" s="36" t="s">
        <v>200</v>
      </c>
      <c r="C226" s="64">
        <v>12</v>
      </c>
      <c r="D226" s="39">
        <f t="shared" ca="1" si="29"/>
        <v>45</v>
      </c>
      <c r="E226" s="55">
        <f>COUNTIFS(A:A,表1[[#This Row],[时间]],B:B,表1[[#This Row],[项目]])</f>
        <v>3</v>
      </c>
    </row>
    <row r="227" spans="1:5" x14ac:dyDescent="0.2">
      <c r="A227" s="54">
        <v>42448</v>
      </c>
      <c r="B227" s="36" t="s">
        <v>202</v>
      </c>
      <c r="C227" s="64">
        <v>12</v>
      </c>
      <c r="D227" s="39">
        <f t="shared" ca="1" si="29"/>
        <v>45</v>
      </c>
      <c r="E227" s="55">
        <f>COUNTIFS(A:A,表1[[#This Row],[时间]],B:B,表1[[#This Row],[项目]])</f>
        <v>3</v>
      </c>
    </row>
    <row r="228" spans="1:5" x14ac:dyDescent="0.2">
      <c r="A228" s="54">
        <v>42448</v>
      </c>
      <c r="B228" s="36" t="s">
        <v>203</v>
      </c>
      <c r="C228" s="64">
        <v>12</v>
      </c>
      <c r="D228" s="39">
        <f t="shared" ca="1" si="29"/>
        <v>45</v>
      </c>
      <c r="E228" s="55">
        <f>COUNTIFS(A:A,表1[[#This Row],[时间]],B:B,表1[[#This Row],[项目]])</f>
        <v>3</v>
      </c>
    </row>
    <row r="229" spans="1:5" x14ac:dyDescent="0.2">
      <c r="A229" s="54">
        <v>42448</v>
      </c>
      <c r="B229" s="36" t="s">
        <v>219</v>
      </c>
      <c r="C229" s="64">
        <v>15</v>
      </c>
      <c r="D229" s="39">
        <f t="shared" ca="1" si="29"/>
        <v>45</v>
      </c>
      <c r="E229" s="55">
        <f>COUNTIFS(A:A,表1[[#This Row],[时间]],B:B,表1[[#This Row],[项目]])</f>
        <v>3</v>
      </c>
    </row>
    <row r="230" spans="1:5" x14ac:dyDescent="0.2">
      <c r="A230" s="54">
        <v>42449</v>
      </c>
      <c r="B230" s="36" t="s">
        <v>223</v>
      </c>
      <c r="C230" s="64">
        <v>12</v>
      </c>
      <c r="D230" s="39">
        <f t="shared" ca="1" si="29"/>
        <v>44</v>
      </c>
      <c r="E230" s="55">
        <f>COUNTIFS(A:A,表1[[#This Row],[时间]],B:B,表1[[#This Row],[项目]])</f>
        <v>5</v>
      </c>
    </row>
    <row r="231" spans="1:5" x14ac:dyDescent="0.2">
      <c r="A231" s="54">
        <v>42449</v>
      </c>
      <c r="B231" s="36" t="s">
        <v>230</v>
      </c>
      <c r="C231" s="64">
        <v>12</v>
      </c>
      <c r="D231" s="39">
        <f t="shared" ca="1" si="29"/>
        <v>44</v>
      </c>
      <c r="E231" s="55">
        <f>COUNTIFS(A:A,表1[[#This Row],[时间]],B:B,表1[[#This Row],[项目]])</f>
        <v>4</v>
      </c>
    </row>
    <row r="232" spans="1:5" x14ac:dyDescent="0.2">
      <c r="A232" s="54">
        <v>42449</v>
      </c>
      <c r="B232" s="36" t="s">
        <v>231</v>
      </c>
      <c r="C232" s="64">
        <v>14</v>
      </c>
      <c r="D232" s="39">
        <f t="shared" ca="1" si="29"/>
        <v>44</v>
      </c>
      <c r="E232" s="55">
        <f>COUNTIFS(A:A,表1[[#This Row],[时间]],B:B,表1[[#This Row],[项目]])</f>
        <v>4</v>
      </c>
    </row>
    <row r="233" spans="1:5" x14ac:dyDescent="0.2">
      <c r="A233" s="54">
        <v>42449</v>
      </c>
      <c r="B233" s="36" t="s">
        <v>240</v>
      </c>
      <c r="C233" s="64">
        <v>12</v>
      </c>
      <c r="D233" s="39">
        <f t="shared" ca="1" si="29"/>
        <v>44</v>
      </c>
      <c r="E233" s="55">
        <f>COUNTIFS(A:A,表1[[#This Row],[时间]],B:B,表1[[#This Row],[项目]])</f>
        <v>4</v>
      </c>
    </row>
    <row r="234" spans="1:5" x14ac:dyDescent="0.2">
      <c r="A234" s="54">
        <v>42449</v>
      </c>
      <c r="B234" s="36" t="s">
        <v>223</v>
      </c>
      <c r="C234" s="64">
        <v>12</v>
      </c>
      <c r="D234" s="39">
        <f t="shared" ca="1" si="29"/>
        <v>44</v>
      </c>
      <c r="E234" s="55">
        <f>COUNTIFS(A:A,表1[[#This Row],[时间]],B:B,表1[[#This Row],[项目]])</f>
        <v>5</v>
      </c>
    </row>
    <row r="235" spans="1:5" x14ac:dyDescent="0.2">
      <c r="A235" s="54">
        <v>42449</v>
      </c>
      <c r="B235" s="36" t="s">
        <v>230</v>
      </c>
      <c r="C235" s="64">
        <v>13</v>
      </c>
      <c r="D235" s="39">
        <f t="shared" ca="1" si="29"/>
        <v>44</v>
      </c>
      <c r="E235" s="55">
        <f>COUNTIFS(A:A,表1[[#This Row],[时间]],B:B,表1[[#This Row],[项目]])</f>
        <v>4</v>
      </c>
    </row>
    <row r="236" spans="1:5" x14ac:dyDescent="0.2">
      <c r="A236" s="54">
        <v>42449</v>
      </c>
      <c r="B236" s="36" t="s">
        <v>231</v>
      </c>
      <c r="C236" s="64">
        <v>13</v>
      </c>
      <c r="D236" s="39">
        <f t="shared" ca="1" si="29"/>
        <v>44</v>
      </c>
      <c r="E236" s="55">
        <f>COUNTIFS(A:A,表1[[#This Row],[时间]],B:B,表1[[#This Row],[项目]])</f>
        <v>4</v>
      </c>
    </row>
    <row r="237" spans="1:5" x14ac:dyDescent="0.2">
      <c r="A237" s="54">
        <v>42449</v>
      </c>
      <c r="B237" s="36" t="s">
        <v>240</v>
      </c>
      <c r="C237" s="64">
        <v>13</v>
      </c>
      <c r="D237" s="39">
        <f t="shared" ca="1" si="29"/>
        <v>44</v>
      </c>
      <c r="E237" s="55">
        <f>COUNTIFS(A:A,表1[[#This Row],[时间]],B:B,表1[[#This Row],[项目]])</f>
        <v>4</v>
      </c>
    </row>
    <row r="238" spans="1:5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44</v>
      </c>
      <c r="E238" s="55">
        <f>COUNTIFS(A:A,表1[[#This Row],[时间]],B:B,表1[[#This Row],[项目]])</f>
        <v>5</v>
      </c>
    </row>
    <row r="239" spans="1:5" x14ac:dyDescent="0.2">
      <c r="A239" s="54">
        <v>42449</v>
      </c>
      <c r="B239" s="36" t="s">
        <v>230</v>
      </c>
      <c r="C239" s="64">
        <v>13</v>
      </c>
      <c r="D239" s="39">
        <f t="shared" ca="1" si="30"/>
        <v>44</v>
      </c>
      <c r="E239" s="55">
        <f>COUNTIFS(A:A,表1[[#This Row],[时间]],B:B,表1[[#This Row],[项目]])</f>
        <v>4</v>
      </c>
    </row>
    <row r="240" spans="1:5" x14ac:dyDescent="0.2">
      <c r="A240" s="54">
        <v>42449</v>
      </c>
      <c r="B240" s="36" t="s">
        <v>231</v>
      </c>
      <c r="C240" s="64">
        <v>14</v>
      </c>
      <c r="D240" s="39">
        <f t="shared" ca="1" si="30"/>
        <v>44</v>
      </c>
      <c r="E240" s="55">
        <f>COUNTIFS(A:A,表1[[#This Row],[时间]],B:B,表1[[#This Row],[项目]])</f>
        <v>4</v>
      </c>
    </row>
    <row r="241" spans="1:5" x14ac:dyDescent="0.2">
      <c r="A241" s="54">
        <v>42449</v>
      </c>
      <c r="B241" s="36" t="s">
        <v>240</v>
      </c>
      <c r="C241" s="64">
        <v>14</v>
      </c>
      <c r="D241" s="39">
        <f t="shared" ca="1" si="30"/>
        <v>44</v>
      </c>
      <c r="E241" s="55">
        <f>COUNTIFS(A:A,表1[[#This Row],[时间]],B:B,表1[[#This Row],[项目]])</f>
        <v>4</v>
      </c>
    </row>
    <row r="242" spans="1:5" x14ac:dyDescent="0.2">
      <c r="A242" s="54">
        <v>42449</v>
      </c>
      <c r="B242" s="36" t="s">
        <v>223</v>
      </c>
      <c r="C242" s="64">
        <v>14</v>
      </c>
      <c r="D242" s="39">
        <f t="shared" ca="1" si="30"/>
        <v>44</v>
      </c>
      <c r="E242" s="55">
        <f>COUNTIFS(A:A,表1[[#This Row],[时间]],B:B,表1[[#This Row],[项目]])</f>
        <v>5</v>
      </c>
    </row>
    <row r="243" spans="1:5" x14ac:dyDescent="0.2">
      <c r="A243" s="54">
        <v>42449</v>
      </c>
      <c r="B243" s="36" t="s">
        <v>230</v>
      </c>
      <c r="C243" s="64">
        <v>14</v>
      </c>
      <c r="D243" s="39">
        <f t="shared" ca="1" si="30"/>
        <v>44</v>
      </c>
      <c r="E243" s="55">
        <f>COUNTIFS(A:A,表1[[#This Row],[时间]],B:B,表1[[#This Row],[项目]])</f>
        <v>4</v>
      </c>
    </row>
    <row r="244" spans="1:5" x14ac:dyDescent="0.2">
      <c r="A244" s="54">
        <v>42449</v>
      </c>
      <c r="B244" s="36" t="s">
        <v>231</v>
      </c>
      <c r="C244" s="64">
        <v>14</v>
      </c>
      <c r="D244" s="39">
        <f t="shared" ca="1" si="30"/>
        <v>44</v>
      </c>
      <c r="E244" s="55">
        <f>COUNTIFS(A:A,表1[[#This Row],[时间]],B:B,表1[[#This Row],[项目]])</f>
        <v>4</v>
      </c>
    </row>
    <row r="245" spans="1:5" x14ac:dyDescent="0.2">
      <c r="A245" s="54">
        <v>42449</v>
      </c>
      <c r="B245" s="36" t="s">
        <v>240</v>
      </c>
      <c r="C245" s="64">
        <v>14</v>
      </c>
      <c r="D245" s="39">
        <f t="shared" ca="1" si="30"/>
        <v>44</v>
      </c>
      <c r="E245" s="55">
        <f>COUNTIFS(A:A,表1[[#This Row],[时间]],B:B,表1[[#This Row],[项目]])</f>
        <v>4</v>
      </c>
    </row>
    <row r="246" spans="1:5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44</v>
      </c>
      <c r="E246" s="55">
        <f>COUNTIFS(A:A,表1[[#This Row],[时间]],B:B,表1[[#This Row],[项目]])</f>
        <v>5</v>
      </c>
    </row>
    <row r="247" spans="1:5" x14ac:dyDescent="0.2">
      <c r="A247" s="54">
        <v>42456</v>
      </c>
      <c r="B247" s="36" t="s">
        <v>223</v>
      </c>
      <c r="C247" s="64">
        <v>12</v>
      </c>
      <c r="D247" s="39">
        <f ca="1">TODAY()-ROUNDDOWN(A247,0)</f>
        <v>37</v>
      </c>
      <c r="E247" s="55">
        <f>COUNTIFS(A:A,表1[[#This Row],[时间]],B:B,表1[[#This Row],[项目]])</f>
        <v>3</v>
      </c>
    </row>
    <row r="248" spans="1:5" x14ac:dyDescent="0.2">
      <c r="A248" s="54">
        <v>42456</v>
      </c>
      <c r="B248" s="36" t="s">
        <v>240</v>
      </c>
      <c r="C248" s="64">
        <v>16</v>
      </c>
      <c r="D248" s="39">
        <f t="shared" ref="D248:D259" ca="1" si="32">TODAY()-ROUNDDOWN(A248,0)</f>
        <v>37</v>
      </c>
      <c r="E248" s="55">
        <f>COUNTIFS(A:A,表1[[#This Row],[时间]],B:B,表1[[#This Row],[项目]])</f>
        <v>3</v>
      </c>
    </row>
    <row r="249" spans="1:5" x14ac:dyDescent="0.2">
      <c r="A249" s="54">
        <v>42456</v>
      </c>
      <c r="B249" s="36" t="s">
        <v>241</v>
      </c>
      <c r="C249" s="64">
        <v>15</v>
      </c>
      <c r="D249" s="39">
        <f t="shared" ca="1" si="32"/>
        <v>37</v>
      </c>
      <c r="E249" s="55">
        <f>COUNTIFS(A:A,表1[[#This Row],[时间]],B:B,表1[[#This Row],[项目]])</f>
        <v>3</v>
      </c>
    </row>
    <row r="250" spans="1:5" x14ac:dyDescent="0.2">
      <c r="A250" s="54">
        <v>42456</v>
      </c>
      <c r="B250" s="36" t="s">
        <v>242</v>
      </c>
      <c r="C250" s="64">
        <v>13</v>
      </c>
      <c r="D250" s="39">
        <f t="shared" ca="1" si="32"/>
        <v>37</v>
      </c>
      <c r="E250" s="55">
        <f>COUNTIFS(A:A,表1[[#This Row],[时间]],B:B,表1[[#This Row],[项目]])</f>
        <v>3</v>
      </c>
    </row>
    <row r="251" spans="1:5" x14ac:dyDescent="0.2">
      <c r="A251" s="54">
        <v>42456</v>
      </c>
      <c r="B251" s="36" t="s">
        <v>243</v>
      </c>
      <c r="C251" s="64">
        <v>13</v>
      </c>
      <c r="D251" s="39">
        <f t="shared" ca="1" si="32"/>
        <v>37</v>
      </c>
      <c r="E251" s="55">
        <f>COUNTIFS(A:A,表1[[#This Row],[时间]],B:B,表1[[#This Row],[项目]])</f>
        <v>3</v>
      </c>
    </row>
    <row r="252" spans="1:5" x14ac:dyDescent="0.2">
      <c r="A252" s="54">
        <v>42456</v>
      </c>
      <c r="B252" s="36" t="s">
        <v>244</v>
      </c>
      <c r="C252" s="64">
        <v>14</v>
      </c>
      <c r="D252" s="39">
        <f t="shared" ca="1" si="32"/>
        <v>37</v>
      </c>
      <c r="E252" s="55">
        <f>COUNTIFS(A:A,表1[[#This Row],[时间]],B:B,表1[[#This Row],[项目]])</f>
        <v>3</v>
      </c>
    </row>
    <row r="253" spans="1:5" x14ac:dyDescent="0.2">
      <c r="A253" s="54">
        <v>42456</v>
      </c>
      <c r="B253" s="36" t="s">
        <v>211</v>
      </c>
      <c r="C253" s="64">
        <v>15</v>
      </c>
      <c r="D253" s="39">
        <f t="shared" ca="1" si="32"/>
        <v>37</v>
      </c>
      <c r="E253" s="55">
        <f>COUNTIFS(A:A,表1[[#This Row],[时间]],B:B,表1[[#This Row],[项目]])</f>
        <v>3</v>
      </c>
    </row>
    <row r="254" spans="1:5" x14ac:dyDescent="0.2">
      <c r="A254" s="54">
        <v>42456</v>
      </c>
      <c r="B254" s="36" t="s">
        <v>215</v>
      </c>
      <c r="C254" s="64">
        <v>16</v>
      </c>
      <c r="D254" s="39">
        <f t="shared" ca="1" si="32"/>
        <v>37</v>
      </c>
      <c r="E254" s="55">
        <f>COUNTIFS(A:A,表1[[#This Row],[时间]],B:B,表1[[#This Row],[项目]])</f>
        <v>3</v>
      </c>
    </row>
    <row r="255" spans="1:5" x14ac:dyDescent="0.2">
      <c r="A255" s="54">
        <v>42456</v>
      </c>
      <c r="B255" s="36" t="s">
        <v>199</v>
      </c>
      <c r="C255" s="64">
        <v>13</v>
      </c>
      <c r="D255" s="39">
        <f t="shared" ca="1" si="32"/>
        <v>37</v>
      </c>
      <c r="E255" s="55">
        <f>COUNTIFS(A:A,表1[[#This Row],[时间]],B:B,表1[[#This Row],[项目]])</f>
        <v>3</v>
      </c>
    </row>
    <row r="256" spans="1:5" x14ac:dyDescent="0.2">
      <c r="A256" s="54">
        <v>42456</v>
      </c>
      <c r="B256" s="36" t="s">
        <v>223</v>
      </c>
      <c r="C256" s="64">
        <v>12</v>
      </c>
      <c r="D256" s="39">
        <f t="shared" ca="1" si="32"/>
        <v>37</v>
      </c>
      <c r="E256" s="55">
        <f>COUNTIFS(A:A,表1[[#This Row],[时间]],B:B,表1[[#This Row],[项目]])</f>
        <v>3</v>
      </c>
    </row>
    <row r="257" spans="1:8" x14ac:dyDescent="0.2">
      <c r="A257" s="54">
        <v>42456</v>
      </c>
      <c r="B257" s="36" t="s">
        <v>240</v>
      </c>
      <c r="C257" s="64">
        <v>18</v>
      </c>
      <c r="D257" s="39">
        <f t="shared" ca="1" si="32"/>
        <v>37</v>
      </c>
      <c r="E257" s="55">
        <f>COUNTIFS(A:A,表1[[#This Row],[时间]],B:B,表1[[#This Row],[项目]])</f>
        <v>3</v>
      </c>
    </row>
    <row r="258" spans="1:8" x14ac:dyDescent="0.2">
      <c r="A258" s="54">
        <v>42456</v>
      </c>
      <c r="B258" s="36" t="s">
        <v>241</v>
      </c>
      <c r="C258" s="64">
        <v>13</v>
      </c>
      <c r="D258" s="39">
        <f t="shared" ca="1" si="32"/>
        <v>37</v>
      </c>
      <c r="E258" s="55">
        <f>COUNTIFS(A:A,表1[[#This Row],[时间]],B:B,表1[[#This Row],[项目]])</f>
        <v>3</v>
      </c>
    </row>
    <row r="259" spans="1:8" x14ac:dyDescent="0.2">
      <c r="A259" s="54">
        <v>42456</v>
      </c>
      <c r="B259" s="36" t="s">
        <v>242</v>
      </c>
      <c r="C259" s="64">
        <v>13</v>
      </c>
      <c r="D259" s="39">
        <f t="shared" ca="1" si="32"/>
        <v>37</v>
      </c>
      <c r="E259" s="55">
        <f>COUNTIFS(A:A,表1[[#This Row],[时间]],B:B,表1[[#This Row],[项目]])</f>
        <v>3</v>
      </c>
      <c r="H259"/>
    </row>
    <row r="260" spans="1:8" x14ac:dyDescent="0.2">
      <c r="A260" s="54">
        <v>42456</v>
      </c>
      <c r="B260" s="36" t="s">
        <v>243</v>
      </c>
      <c r="C260" s="64">
        <v>14</v>
      </c>
      <c r="D260" s="39">
        <f t="shared" ref="D260:D264" ca="1" si="33">TODAY()-ROUNDDOWN(A260,0)</f>
        <v>37</v>
      </c>
      <c r="E260" s="55">
        <f>COUNTIFS(A:A,表1[[#This Row],[时间]],B:B,表1[[#This Row],[项目]])</f>
        <v>3</v>
      </c>
    </row>
    <row r="261" spans="1:8" x14ac:dyDescent="0.2">
      <c r="A261" s="54">
        <v>42456</v>
      </c>
      <c r="B261" s="36" t="s">
        <v>244</v>
      </c>
      <c r="C261" s="64">
        <v>13</v>
      </c>
      <c r="D261" s="39">
        <f t="shared" ca="1" si="33"/>
        <v>37</v>
      </c>
      <c r="E261" s="55">
        <f>COUNTIFS(A:A,表1[[#This Row],[时间]],B:B,表1[[#This Row],[项目]])</f>
        <v>3</v>
      </c>
    </row>
    <row r="262" spans="1:8" x14ac:dyDescent="0.2">
      <c r="A262" s="54">
        <v>42456</v>
      </c>
      <c r="B262" s="36" t="s">
        <v>211</v>
      </c>
      <c r="C262" s="64">
        <v>17</v>
      </c>
      <c r="D262" s="39">
        <f t="shared" ca="1" si="33"/>
        <v>37</v>
      </c>
      <c r="E262" s="55">
        <f>COUNTIFS(A:A,表1[[#This Row],[时间]],B:B,表1[[#This Row],[项目]])</f>
        <v>3</v>
      </c>
    </row>
    <row r="263" spans="1:8" x14ac:dyDescent="0.2">
      <c r="A263" s="54">
        <v>42456</v>
      </c>
      <c r="B263" s="36" t="s">
        <v>215</v>
      </c>
      <c r="C263" s="64">
        <v>20</v>
      </c>
      <c r="D263" s="39">
        <f t="shared" ca="1" si="33"/>
        <v>37</v>
      </c>
      <c r="E263" s="55">
        <f>COUNTIFS(A:A,表1[[#This Row],[时间]],B:B,表1[[#This Row],[项目]])</f>
        <v>3</v>
      </c>
    </row>
    <row r="264" spans="1:8" x14ac:dyDescent="0.2">
      <c r="A264" s="54">
        <v>42456</v>
      </c>
      <c r="B264" s="36" t="s">
        <v>199</v>
      </c>
      <c r="C264" s="64">
        <v>15</v>
      </c>
      <c r="D264" s="39">
        <f t="shared" ca="1" si="33"/>
        <v>37</v>
      </c>
      <c r="E264" s="55">
        <f>COUNTIFS(A:A,表1[[#This Row],[时间]],B:B,表1[[#This Row],[项目]])</f>
        <v>3</v>
      </c>
    </row>
    <row r="265" spans="1:8" x14ac:dyDescent="0.2">
      <c r="A265" s="54">
        <v>42456</v>
      </c>
      <c r="B265" s="36" t="s">
        <v>223</v>
      </c>
      <c r="C265" s="64">
        <v>13</v>
      </c>
      <c r="D265" s="39">
        <f t="shared" ref="D265:D273" ca="1" si="34">TODAY()-ROUNDDOWN(A265,0)</f>
        <v>37</v>
      </c>
      <c r="E265" s="55">
        <f>COUNTIFS(A:A,表1[[#This Row],[时间]],B:B,表1[[#This Row],[项目]])</f>
        <v>3</v>
      </c>
    </row>
    <row r="266" spans="1:8" x14ac:dyDescent="0.2">
      <c r="A266" s="54">
        <v>42456</v>
      </c>
      <c r="B266" s="36" t="s">
        <v>240</v>
      </c>
      <c r="C266" s="64">
        <v>17</v>
      </c>
      <c r="D266" s="39">
        <f t="shared" ca="1" si="34"/>
        <v>37</v>
      </c>
      <c r="E266" s="55">
        <f>COUNTIFS(A:A,表1[[#This Row],[时间]],B:B,表1[[#This Row],[项目]])</f>
        <v>3</v>
      </c>
    </row>
    <row r="267" spans="1:8" x14ac:dyDescent="0.2">
      <c r="A267" s="54">
        <v>42456</v>
      </c>
      <c r="B267" s="36" t="s">
        <v>241</v>
      </c>
      <c r="C267" s="64">
        <v>14</v>
      </c>
      <c r="D267" s="39">
        <f t="shared" ca="1" si="34"/>
        <v>37</v>
      </c>
      <c r="E267" s="55">
        <f>COUNTIFS(A:A,表1[[#This Row],[时间]],B:B,表1[[#This Row],[项目]])</f>
        <v>3</v>
      </c>
    </row>
    <row r="268" spans="1:8" x14ac:dyDescent="0.2">
      <c r="A268" s="54">
        <v>42456</v>
      </c>
      <c r="B268" s="36" t="s">
        <v>242</v>
      </c>
      <c r="C268" s="64">
        <v>13</v>
      </c>
      <c r="D268" s="39">
        <f t="shared" ca="1" si="34"/>
        <v>37</v>
      </c>
      <c r="E268" s="55">
        <f>COUNTIFS(A:A,表1[[#This Row],[时间]],B:B,表1[[#This Row],[项目]])</f>
        <v>3</v>
      </c>
    </row>
    <row r="269" spans="1:8" x14ac:dyDescent="0.2">
      <c r="A269" s="54">
        <v>42456</v>
      </c>
      <c r="B269" s="36" t="s">
        <v>243</v>
      </c>
      <c r="C269" s="64">
        <v>17</v>
      </c>
      <c r="D269" s="39">
        <f t="shared" ca="1" si="34"/>
        <v>37</v>
      </c>
      <c r="E269" s="55">
        <f>COUNTIFS(A:A,表1[[#This Row],[时间]],B:B,表1[[#This Row],[项目]])</f>
        <v>3</v>
      </c>
    </row>
    <row r="270" spans="1:8" x14ac:dyDescent="0.2">
      <c r="A270" s="54">
        <v>42456</v>
      </c>
      <c r="B270" s="36" t="s">
        <v>244</v>
      </c>
      <c r="C270" s="64">
        <v>13</v>
      </c>
      <c r="D270" s="39">
        <f t="shared" ca="1" si="34"/>
        <v>37</v>
      </c>
      <c r="E270" s="55">
        <f>COUNTIFS(A:A,表1[[#This Row],[时间]],B:B,表1[[#This Row],[项目]])</f>
        <v>3</v>
      </c>
    </row>
    <row r="271" spans="1:8" x14ac:dyDescent="0.2">
      <c r="A271" s="54">
        <v>42456</v>
      </c>
      <c r="B271" s="36" t="s">
        <v>211</v>
      </c>
      <c r="C271" s="64">
        <v>18</v>
      </c>
      <c r="D271" s="39">
        <f t="shared" ca="1" si="34"/>
        <v>37</v>
      </c>
      <c r="E271" s="55">
        <f>COUNTIFS(A:A,表1[[#This Row],[时间]],B:B,表1[[#This Row],[项目]])</f>
        <v>3</v>
      </c>
    </row>
    <row r="272" spans="1:8" x14ac:dyDescent="0.2">
      <c r="A272" s="54">
        <v>42456</v>
      </c>
      <c r="B272" s="36" t="s">
        <v>215</v>
      </c>
      <c r="C272" s="64">
        <v>20</v>
      </c>
      <c r="D272" s="39">
        <f t="shared" ca="1" si="34"/>
        <v>37</v>
      </c>
      <c r="E272" s="55">
        <f>COUNTIFS(A:A,表1[[#This Row],[时间]],B:B,表1[[#This Row],[项目]])</f>
        <v>3</v>
      </c>
    </row>
    <row r="273" spans="1:5" x14ac:dyDescent="0.2">
      <c r="A273" s="54">
        <v>42456</v>
      </c>
      <c r="B273" s="36" t="s">
        <v>199</v>
      </c>
      <c r="C273" s="64">
        <v>16</v>
      </c>
      <c r="D273" s="39">
        <f t="shared" ca="1" si="34"/>
        <v>37</v>
      </c>
      <c r="E273" s="55">
        <f>COUNTIFS(A:A,表1[[#This Row],[时间]],B:B,表1[[#This Row],[项目]])</f>
        <v>3</v>
      </c>
    </row>
    <row r="274" spans="1:5" x14ac:dyDescent="0.2">
      <c r="A274" s="54">
        <v>42457</v>
      </c>
      <c r="B274" s="36" t="s">
        <v>230</v>
      </c>
      <c r="C274" s="64">
        <v>12</v>
      </c>
      <c r="D274" s="39">
        <f t="shared" ref="D274:D275" ca="1" si="35">TODAY()-ROUNDDOWN(A274,0)</f>
        <v>36</v>
      </c>
      <c r="E274" s="55">
        <f>COUNTIFS(A:A,表1[[#This Row],[时间]],B:B,表1[[#This Row],[项目]])</f>
        <v>2</v>
      </c>
    </row>
    <row r="275" spans="1:5" x14ac:dyDescent="0.2">
      <c r="A275" s="54">
        <v>42457</v>
      </c>
      <c r="B275" s="36" t="s">
        <v>231</v>
      </c>
      <c r="C275" s="64">
        <v>12</v>
      </c>
      <c r="D275" s="39">
        <f t="shared" ca="1" si="35"/>
        <v>36</v>
      </c>
      <c r="E275" s="55">
        <f>COUNTIFS(A:A,表1[[#This Row],[时间]],B:B,表1[[#This Row],[项目]])</f>
        <v>2</v>
      </c>
    </row>
    <row r="276" spans="1:5" x14ac:dyDescent="0.2">
      <c r="A276" s="54">
        <v>42457</v>
      </c>
      <c r="B276" s="36" t="s">
        <v>219</v>
      </c>
      <c r="C276" s="64">
        <v>12</v>
      </c>
      <c r="D276" s="39">
        <f t="shared" ref="D276:D277" ca="1" si="36">TODAY()-ROUNDDOWN(A276,0)</f>
        <v>36</v>
      </c>
      <c r="E276" s="55">
        <f>COUNTIFS(A:A,表1[[#This Row],[时间]],B:B,表1[[#This Row],[项目]])</f>
        <v>2</v>
      </c>
    </row>
    <row r="277" spans="1:5" x14ac:dyDescent="0.2">
      <c r="A277" s="54">
        <v>42457</v>
      </c>
      <c r="B277" s="36" t="s">
        <v>221</v>
      </c>
      <c r="C277" s="64">
        <v>12</v>
      </c>
      <c r="D277" s="39">
        <f t="shared" ca="1" si="36"/>
        <v>36</v>
      </c>
      <c r="E277" s="55">
        <f>COUNTIFS(A:A,表1[[#This Row],[时间]],B:B,表1[[#This Row],[项目]])</f>
        <v>2</v>
      </c>
    </row>
    <row r="278" spans="1:5" x14ac:dyDescent="0.2">
      <c r="A278" s="54">
        <v>42457</v>
      </c>
      <c r="B278" s="36" t="s">
        <v>200</v>
      </c>
      <c r="C278" s="64">
        <v>10</v>
      </c>
      <c r="D278" s="39">
        <f ca="1">TODAY()-ROUNDDOWN(A278,0)</f>
        <v>36</v>
      </c>
      <c r="E278" s="55">
        <f>COUNTIFS(A:A,表1[[#This Row],[时间]],B:B,表1[[#This Row],[项目]])</f>
        <v>2</v>
      </c>
    </row>
    <row r="279" spans="1:5" x14ac:dyDescent="0.2">
      <c r="A279" s="54">
        <v>42457</v>
      </c>
      <c r="B279" t="s">
        <v>132</v>
      </c>
      <c r="C279" s="64">
        <v>12</v>
      </c>
      <c r="D279" s="39">
        <f ca="1">TODAY()-ROUNDDOWN(A279,0)</f>
        <v>36</v>
      </c>
      <c r="E279" s="55">
        <f>COUNTIFS(A:A,表1[[#This Row],[时间]],B:B,表1[[#This Row],[项目]])</f>
        <v>1</v>
      </c>
    </row>
    <row r="280" spans="1:5" x14ac:dyDescent="0.2">
      <c r="A280" s="54">
        <v>42457</v>
      </c>
      <c r="B280" s="36" t="s">
        <v>230</v>
      </c>
      <c r="C280" s="64">
        <v>12</v>
      </c>
      <c r="D280" s="39">
        <f t="shared" ref="D280:D284" ca="1" si="37">TODAY()-ROUNDDOWN(A280,0)</f>
        <v>36</v>
      </c>
      <c r="E280" s="55">
        <f>COUNTIFS(A:A,表1[[#This Row],[时间]],B:B,表1[[#This Row],[项目]])</f>
        <v>2</v>
      </c>
    </row>
    <row r="281" spans="1:5" x14ac:dyDescent="0.2">
      <c r="A281" s="54">
        <v>42457</v>
      </c>
      <c r="B281" s="36" t="s">
        <v>231</v>
      </c>
      <c r="C281" s="64">
        <v>12</v>
      </c>
      <c r="D281" s="39">
        <f t="shared" ca="1" si="37"/>
        <v>36</v>
      </c>
      <c r="E281" s="55">
        <f>COUNTIFS(A:A,表1[[#This Row],[时间]],B:B,表1[[#This Row],[项目]])</f>
        <v>2</v>
      </c>
    </row>
    <row r="282" spans="1:5" x14ac:dyDescent="0.2">
      <c r="A282" s="54">
        <v>42457</v>
      </c>
      <c r="B282" s="36" t="s">
        <v>219</v>
      </c>
      <c r="C282" s="64">
        <v>12</v>
      </c>
      <c r="D282" s="39">
        <f t="shared" ca="1" si="37"/>
        <v>36</v>
      </c>
      <c r="E282" s="55">
        <f>COUNTIFS(A:A,表1[[#This Row],[时间]],B:B,表1[[#This Row],[项目]])</f>
        <v>2</v>
      </c>
    </row>
    <row r="283" spans="1:5" x14ac:dyDescent="0.2">
      <c r="A283" s="54">
        <v>42457</v>
      </c>
      <c r="B283" s="36" t="s">
        <v>221</v>
      </c>
      <c r="C283" s="64">
        <v>12</v>
      </c>
      <c r="D283" s="39">
        <f t="shared" ca="1" si="37"/>
        <v>36</v>
      </c>
      <c r="E283" s="55">
        <f>COUNTIFS(A:A,表1[[#This Row],[时间]],B:B,表1[[#This Row],[项目]])</f>
        <v>2</v>
      </c>
    </row>
    <row r="284" spans="1:5" x14ac:dyDescent="0.2">
      <c r="A284" s="54">
        <v>42457</v>
      </c>
      <c r="B284" s="36" t="s">
        <v>200</v>
      </c>
      <c r="C284" s="64">
        <v>12</v>
      </c>
      <c r="D284" s="39">
        <f t="shared" ca="1" si="37"/>
        <v>36</v>
      </c>
      <c r="E284" s="55">
        <f>COUNTIFS(A:A,表1[[#This Row],[时间]],B:B,表1[[#This Row],[项目]])</f>
        <v>2</v>
      </c>
    </row>
    <row r="285" spans="1:5" x14ac:dyDescent="0.2">
      <c r="A285" s="54">
        <v>42461</v>
      </c>
      <c r="B285" s="36" t="s">
        <v>232</v>
      </c>
      <c r="C285" s="64">
        <v>13</v>
      </c>
      <c r="D285" s="39">
        <f t="shared" ref="D285:D290" ca="1" si="38">TODAY()-ROUNDDOWN(A285,0)</f>
        <v>32</v>
      </c>
      <c r="E285" s="55">
        <f>COUNTIFS(A:A,表1[[#This Row],[时间]],B:B,表1[[#This Row],[项目]])</f>
        <v>2</v>
      </c>
    </row>
    <row r="286" spans="1:5" x14ac:dyDescent="0.2">
      <c r="A286" s="54">
        <v>42461</v>
      </c>
      <c r="B286" s="36" t="s">
        <v>233</v>
      </c>
      <c r="C286" s="64">
        <v>13</v>
      </c>
      <c r="D286" s="39">
        <f t="shared" ca="1" si="38"/>
        <v>32</v>
      </c>
      <c r="E286" s="55">
        <f>COUNTIFS(A:A,表1[[#This Row],[时间]],B:B,表1[[#This Row],[项目]])</f>
        <v>2</v>
      </c>
    </row>
    <row r="287" spans="1:5" x14ac:dyDescent="0.2">
      <c r="A287" s="54">
        <v>42461</v>
      </c>
      <c r="B287" s="36" t="s">
        <v>234</v>
      </c>
      <c r="C287" s="64">
        <v>13</v>
      </c>
      <c r="D287" s="39">
        <f t="shared" ca="1" si="38"/>
        <v>32</v>
      </c>
      <c r="E287" s="55">
        <f>COUNTIFS(A:A,表1[[#This Row],[时间]],B:B,表1[[#This Row],[项目]])</f>
        <v>2</v>
      </c>
    </row>
    <row r="288" spans="1:5" x14ac:dyDescent="0.2">
      <c r="A288" s="54">
        <v>42461</v>
      </c>
      <c r="B288" s="36" t="s">
        <v>235</v>
      </c>
      <c r="C288" s="64">
        <v>14</v>
      </c>
      <c r="D288" s="39">
        <f t="shared" ca="1" si="38"/>
        <v>32</v>
      </c>
      <c r="E288" s="55">
        <f>COUNTIFS(A:A,表1[[#This Row],[时间]],B:B,表1[[#This Row],[项目]])</f>
        <v>2</v>
      </c>
    </row>
    <row r="289" spans="1:5" x14ac:dyDescent="0.2">
      <c r="A289" s="54">
        <v>42461</v>
      </c>
      <c r="B289" s="36" t="s">
        <v>212</v>
      </c>
      <c r="C289" s="64">
        <v>14</v>
      </c>
      <c r="D289" s="39">
        <f t="shared" ca="1" si="38"/>
        <v>32</v>
      </c>
      <c r="E289" s="55">
        <f>COUNTIFS(A:A,表1[[#This Row],[时间]],B:B,表1[[#This Row],[项目]])</f>
        <v>2</v>
      </c>
    </row>
    <row r="290" spans="1:5" x14ac:dyDescent="0.2">
      <c r="A290" s="54">
        <v>42461</v>
      </c>
      <c r="B290" s="36" t="s">
        <v>216</v>
      </c>
      <c r="C290" s="64">
        <v>15</v>
      </c>
      <c r="D290" s="39">
        <f t="shared" ca="1" si="38"/>
        <v>32</v>
      </c>
      <c r="E290" s="55">
        <f>COUNTIFS(A:A,表1[[#This Row],[时间]],B:B,表1[[#This Row],[项目]])</f>
        <v>2</v>
      </c>
    </row>
    <row r="291" spans="1:5" x14ac:dyDescent="0.2">
      <c r="A291" s="54">
        <v>42461</v>
      </c>
      <c r="B291" s="36" t="s">
        <v>230</v>
      </c>
      <c r="C291" s="64">
        <v>14</v>
      </c>
      <c r="D291" s="39">
        <f t="shared" ref="D291:D293" ca="1" si="39">TODAY()-ROUNDDOWN(A291,0)</f>
        <v>32</v>
      </c>
      <c r="E291" s="55">
        <f>COUNTIFS(A:A,表1[[#This Row],[时间]],B:B,表1[[#This Row],[项目]])</f>
        <v>2</v>
      </c>
    </row>
    <row r="292" spans="1:5" x14ac:dyDescent="0.2">
      <c r="A292" s="54">
        <v>42461</v>
      </c>
      <c r="B292" s="36" t="s">
        <v>231</v>
      </c>
      <c r="C292" s="64">
        <v>13</v>
      </c>
      <c r="D292" s="39">
        <f t="shared" ca="1" si="39"/>
        <v>32</v>
      </c>
      <c r="E292" s="55">
        <f>COUNTIFS(A:A,表1[[#This Row],[时间]],B:B,表1[[#This Row],[项目]])</f>
        <v>2</v>
      </c>
    </row>
    <row r="293" spans="1:5" x14ac:dyDescent="0.2">
      <c r="A293" s="54">
        <v>42461</v>
      </c>
      <c r="B293" s="36" t="s">
        <v>240</v>
      </c>
      <c r="C293" s="64">
        <v>14</v>
      </c>
      <c r="D293" s="39">
        <f t="shared" ca="1" si="39"/>
        <v>32</v>
      </c>
      <c r="E293" s="55">
        <f>COUNTIFS(A:A,表1[[#This Row],[时间]],B:B,表1[[#This Row],[项目]])</f>
        <v>2</v>
      </c>
    </row>
    <row r="294" spans="1:5" x14ac:dyDescent="0.2">
      <c r="A294" s="54">
        <v>42461</v>
      </c>
      <c r="B294" s="36" t="s">
        <v>223</v>
      </c>
      <c r="C294" s="64">
        <v>14</v>
      </c>
      <c r="D294" s="39">
        <f ca="1">TODAY()-ROUNDDOWN(A294,0)</f>
        <v>32</v>
      </c>
      <c r="E294" s="55">
        <f>COUNTIFS(A:A,表1[[#This Row],[时间]],B:B,表1[[#This Row],[项目]])</f>
        <v>2</v>
      </c>
    </row>
    <row r="295" spans="1:5" x14ac:dyDescent="0.2">
      <c r="A295" s="54">
        <v>42461</v>
      </c>
      <c r="B295" s="36" t="s">
        <v>191</v>
      </c>
      <c r="C295" s="64">
        <v>13</v>
      </c>
      <c r="D295" s="39">
        <f ca="1">TODAY()-ROUNDDOWN(A295,0)</f>
        <v>32</v>
      </c>
      <c r="E295" s="55">
        <f>COUNTIFS(A:A,表1[[#This Row],[时间]],B:B,表1[[#This Row],[项目]])</f>
        <v>2</v>
      </c>
    </row>
    <row r="296" spans="1:5" x14ac:dyDescent="0.2">
      <c r="A296" s="54">
        <v>42461</v>
      </c>
      <c r="B296" s="36" t="s">
        <v>232</v>
      </c>
      <c r="C296" s="64">
        <v>16</v>
      </c>
      <c r="D296" s="39">
        <f t="shared" ref="D296:D306" ca="1" si="40">TODAY()-ROUNDDOWN(A296,0)</f>
        <v>32</v>
      </c>
      <c r="E296" s="55">
        <f>COUNTIFS(A:A,表1[[#This Row],[时间]],B:B,表1[[#This Row],[项目]])</f>
        <v>2</v>
      </c>
    </row>
    <row r="297" spans="1:5" x14ac:dyDescent="0.2">
      <c r="A297" s="54">
        <v>42461</v>
      </c>
      <c r="B297" s="36" t="s">
        <v>233</v>
      </c>
      <c r="C297" s="64">
        <v>14</v>
      </c>
      <c r="D297" s="39">
        <f t="shared" ca="1" si="40"/>
        <v>32</v>
      </c>
      <c r="E297" s="55">
        <f>COUNTIFS(A:A,表1[[#This Row],[时间]],B:B,表1[[#This Row],[项目]])</f>
        <v>2</v>
      </c>
    </row>
    <row r="298" spans="1:5" x14ac:dyDescent="0.2">
      <c r="A298" s="54">
        <v>42461</v>
      </c>
      <c r="B298" s="36" t="s">
        <v>234</v>
      </c>
      <c r="C298" s="64">
        <v>14</v>
      </c>
      <c r="D298" s="39">
        <f t="shared" ca="1" si="40"/>
        <v>32</v>
      </c>
      <c r="E298" s="55">
        <f>COUNTIFS(A:A,表1[[#This Row],[时间]],B:B,表1[[#This Row],[项目]])</f>
        <v>2</v>
      </c>
    </row>
    <row r="299" spans="1:5" x14ac:dyDescent="0.2">
      <c r="A299" s="54">
        <v>42461</v>
      </c>
      <c r="B299" s="36" t="s">
        <v>235</v>
      </c>
      <c r="C299" s="64">
        <v>13</v>
      </c>
      <c r="D299" s="39">
        <f t="shared" ca="1" si="40"/>
        <v>32</v>
      </c>
      <c r="E299" s="55">
        <f>COUNTIFS(A:A,表1[[#This Row],[时间]],B:B,表1[[#This Row],[项目]])</f>
        <v>2</v>
      </c>
    </row>
    <row r="300" spans="1:5" x14ac:dyDescent="0.2">
      <c r="A300" s="54">
        <v>42461</v>
      </c>
      <c r="B300" s="36" t="s">
        <v>212</v>
      </c>
      <c r="C300" s="64">
        <v>13</v>
      </c>
      <c r="D300" s="39">
        <f t="shared" ca="1" si="40"/>
        <v>32</v>
      </c>
      <c r="E300" s="55">
        <f>COUNTIFS(A:A,表1[[#This Row],[时间]],B:B,表1[[#This Row],[项目]])</f>
        <v>2</v>
      </c>
    </row>
    <row r="301" spans="1:5" x14ac:dyDescent="0.2">
      <c r="A301" s="54">
        <v>42461</v>
      </c>
      <c r="B301" s="36" t="s">
        <v>216</v>
      </c>
      <c r="C301" s="64">
        <v>20</v>
      </c>
      <c r="D301" s="39">
        <f t="shared" ca="1" si="40"/>
        <v>32</v>
      </c>
      <c r="E301" s="55">
        <f>COUNTIFS(A:A,表1[[#This Row],[时间]],B:B,表1[[#This Row],[项目]])</f>
        <v>2</v>
      </c>
    </row>
    <row r="302" spans="1:5" x14ac:dyDescent="0.2">
      <c r="A302" s="54">
        <v>42461</v>
      </c>
      <c r="B302" s="36" t="s">
        <v>230</v>
      </c>
      <c r="C302" s="64">
        <v>20</v>
      </c>
      <c r="D302" s="39">
        <f t="shared" ca="1" si="40"/>
        <v>32</v>
      </c>
      <c r="E302" s="55">
        <f>COUNTIFS(A:A,表1[[#This Row],[时间]],B:B,表1[[#This Row],[项目]])</f>
        <v>2</v>
      </c>
    </row>
    <row r="303" spans="1:5" x14ac:dyDescent="0.2">
      <c r="A303" s="54">
        <v>42461</v>
      </c>
      <c r="B303" s="36" t="s">
        <v>231</v>
      </c>
      <c r="C303" s="64">
        <v>20</v>
      </c>
      <c r="D303" s="39">
        <f t="shared" ca="1" si="40"/>
        <v>32</v>
      </c>
      <c r="E303" s="55">
        <f>COUNTIFS(A:A,表1[[#This Row],[时间]],B:B,表1[[#This Row],[项目]])</f>
        <v>2</v>
      </c>
    </row>
    <row r="304" spans="1:5" x14ac:dyDescent="0.2">
      <c r="A304" s="54">
        <v>42461</v>
      </c>
      <c r="B304" s="36" t="s">
        <v>240</v>
      </c>
      <c r="C304" s="64">
        <v>13</v>
      </c>
      <c r="D304" s="39">
        <f t="shared" ca="1" si="40"/>
        <v>32</v>
      </c>
      <c r="E304" s="55">
        <f>COUNTIFS(A:A,表1[[#This Row],[时间]],B:B,表1[[#This Row],[项目]])</f>
        <v>2</v>
      </c>
    </row>
    <row r="305" spans="1:8" x14ac:dyDescent="0.2">
      <c r="A305" s="54">
        <v>42461</v>
      </c>
      <c r="B305" s="36" t="s">
        <v>223</v>
      </c>
      <c r="C305" s="64">
        <v>13</v>
      </c>
      <c r="D305" s="39">
        <f t="shared" ca="1" si="40"/>
        <v>32</v>
      </c>
      <c r="E305" s="55">
        <f>COUNTIFS(A:A,表1[[#This Row],[时间]],B:B,表1[[#This Row],[项目]])</f>
        <v>2</v>
      </c>
    </row>
    <row r="306" spans="1:8" x14ac:dyDescent="0.2">
      <c r="A306" s="54">
        <v>42461</v>
      </c>
      <c r="B306" s="36" t="s">
        <v>191</v>
      </c>
      <c r="C306" s="64">
        <v>16</v>
      </c>
      <c r="D306" s="39">
        <f t="shared" ca="1" si="40"/>
        <v>32</v>
      </c>
      <c r="E306" s="55">
        <f>COUNTIFS(A:A,表1[[#This Row],[时间]],B:B,表1[[#This Row],[项目]])</f>
        <v>2</v>
      </c>
    </row>
    <row r="307" spans="1:8" x14ac:dyDescent="0.2">
      <c r="A307" s="54">
        <v>42461</v>
      </c>
      <c r="B307" s="36" t="s">
        <v>246</v>
      </c>
      <c r="C307" s="64">
        <v>200</v>
      </c>
      <c r="D307" s="39">
        <f ca="1">TODAY()-ROUNDDOWN(A307,0)</f>
        <v>32</v>
      </c>
      <c r="E307" s="55">
        <f>COUNTIFS(A:A,表1[[#This Row],[时间]],B:B,表1[[#This Row],[项目]])</f>
        <v>3</v>
      </c>
    </row>
    <row r="308" spans="1:8" x14ac:dyDescent="0.2">
      <c r="A308" s="54">
        <v>42461</v>
      </c>
      <c r="B308" s="36" t="s">
        <v>246</v>
      </c>
      <c r="C308" s="64">
        <v>490</v>
      </c>
      <c r="D308" s="39">
        <f ca="1">TODAY()-ROUNDDOWN(A308,0)</f>
        <v>32</v>
      </c>
      <c r="E308" s="55">
        <f>COUNTIFS(A:A,表1[[#This Row],[时间]],B:B,表1[[#This Row],[项目]])</f>
        <v>3</v>
      </c>
    </row>
    <row r="309" spans="1:8" x14ac:dyDescent="0.2">
      <c r="A309" s="54">
        <v>42461</v>
      </c>
      <c r="B309" s="36" t="s">
        <v>246</v>
      </c>
      <c r="C309" s="64">
        <v>200</v>
      </c>
      <c r="D309" s="39">
        <f ca="1">TODAY()-ROUNDDOWN(A309,0)</f>
        <v>32</v>
      </c>
      <c r="E309" s="55">
        <f>COUNTIFS(A:A,表1[[#This Row],[时间]],B:B,表1[[#This Row],[项目]])</f>
        <v>3</v>
      </c>
    </row>
    <row r="310" spans="1:8" x14ac:dyDescent="0.2">
      <c r="A310" s="54">
        <v>42462</v>
      </c>
      <c r="B310" t="s">
        <v>247</v>
      </c>
      <c r="C310" s="64">
        <v>260</v>
      </c>
      <c r="D310" s="39">
        <f ca="1">TODAY()-ROUNDDOWN(A310,0)</f>
        <v>31</v>
      </c>
      <c r="E310" s="55">
        <f>COUNTIFS(A:A,表1[[#This Row],[时间]],B:B,表1[[#This Row],[项目]])</f>
        <v>1</v>
      </c>
    </row>
    <row r="311" spans="1:8" x14ac:dyDescent="0.2">
      <c r="A311" s="54">
        <v>42464</v>
      </c>
      <c r="B311" t="s">
        <v>247</v>
      </c>
      <c r="C311" s="64">
        <v>300</v>
      </c>
      <c r="D311" s="39">
        <f ca="1">TODAY()-ROUNDDOWN(A311,0)</f>
        <v>29</v>
      </c>
      <c r="E311" s="55">
        <f>COUNTIFS(A:A,表1[[#This Row],[时间]],B:B,表1[[#This Row],[项目]])</f>
        <v>1</v>
      </c>
    </row>
    <row r="312" spans="1:8" x14ac:dyDescent="0.2">
      <c r="A312" s="54">
        <v>42464</v>
      </c>
      <c r="B312" s="36" t="s">
        <v>219</v>
      </c>
      <c r="C312" s="64">
        <v>13</v>
      </c>
      <c r="D312" s="39">
        <f t="shared" ref="D312:D315" ca="1" si="41">TODAY()-ROUNDDOWN(A312,0)</f>
        <v>29</v>
      </c>
      <c r="E312" s="55">
        <f>COUNTIFS(A:A,表1[[#This Row],[时间]],B:B,表1[[#This Row],[项目]])</f>
        <v>1</v>
      </c>
    </row>
    <row r="313" spans="1:8" x14ac:dyDescent="0.2">
      <c r="A313" s="54">
        <v>42464</v>
      </c>
      <c r="B313" s="36" t="s">
        <v>221</v>
      </c>
      <c r="C313" s="64">
        <v>12</v>
      </c>
      <c r="D313" s="39">
        <f t="shared" ca="1" si="41"/>
        <v>29</v>
      </c>
      <c r="E313" s="55">
        <f>COUNTIFS(A:A,表1[[#This Row],[时间]],B:B,表1[[#This Row],[项目]])</f>
        <v>1</v>
      </c>
    </row>
    <row r="314" spans="1:8" x14ac:dyDescent="0.2">
      <c r="A314" s="54">
        <v>42464</v>
      </c>
      <c r="B314" s="36" t="s">
        <v>230</v>
      </c>
      <c r="C314" s="64">
        <v>12</v>
      </c>
      <c r="D314" s="39">
        <f t="shared" ca="1" si="41"/>
        <v>29</v>
      </c>
      <c r="E314" s="55">
        <f>COUNTIFS(A:A,表1[[#This Row],[时间]],B:B,表1[[#This Row],[项目]])</f>
        <v>1</v>
      </c>
    </row>
    <row r="315" spans="1:8" x14ac:dyDescent="0.2">
      <c r="A315" s="54">
        <v>42464</v>
      </c>
      <c r="B315" s="36" t="s">
        <v>231</v>
      </c>
      <c r="C315" s="64">
        <v>12</v>
      </c>
      <c r="D315" s="39">
        <f t="shared" ca="1" si="41"/>
        <v>29</v>
      </c>
      <c r="E315" s="55">
        <f>COUNTIFS(A:A,表1[[#This Row],[时间]],B:B,表1[[#This Row],[项目]])</f>
        <v>1</v>
      </c>
      <c r="H315"/>
    </row>
    <row r="316" spans="1:8" x14ac:dyDescent="0.2">
      <c r="A316" s="54">
        <v>42464</v>
      </c>
      <c r="B316" s="36" t="s">
        <v>240</v>
      </c>
      <c r="C316" s="64">
        <v>13</v>
      </c>
      <c r="D316" s="39">
        <f t="shared" ref="D316:D317" ca="1" si="42">TODAY()-ROUNDDOWN(A316,0)</f>
        <v>29</v>
      </c>
      <c r="E316" s="55">
        <f>COUNTIFS(A:A,表1[[#This Row],[时间]],B:B,表1[[#This Row],[项目]])</f>
        <v>1</v>
      </c>
      <c r="H316"/>
    </row>
    <row r="317" spans="1:8" x14ac:dyDescent="0.2">
      <c r="A317" s="54">
        <v>42464</v>
      </c>
      <c r="B317" s="36" t="s">
        <v>223</v>
      </c>
      <c r="C317" s="64">
        <v>13</v>
      </c>
      <c r="D317" s="39">
        <f t="shared" ca="1" si="42"/>
        <v>29</v>
      </c>
      <c r="E317" s="55">
        <f>COUNTIFS(A:A,表1[[#This Row],[时间]],B:B,表1[[#This Row],[项目]])</f>
        <v>1</v>
      </c>
      <c r="H317"/>
    </row>
    <row r="318" spans="1:8" x14ac:dyDescent="0.2">
      <c r="A318" s="54">
        <v>42465</v>
      </c>
      <c r="B318" s="36" t="s">
        <v>219</v>
      </c>
      <c r="C318" s="64">
        <v>14</v>
      </c>
      <c r="D318" s="39">
        <f t="shared" ref="D318:D323" ca="1" si="43">TODAY()-ROUNDDOWN(A318,0)</f>
        <v>28</v>
      </c>
      <c r="E318" s="55">
        <f>COUNTIFS(A:A,表1[[#This Row],[时间]],B:B,表1[[#This Row],[项目]])</f>
        <v>2</v>
      </c>
      <c r="H318"/>
    </row>
    <row r="319" spans="1:8" x14ac:dyDescent="0.2">
      <c r="A319" s="54">
        <v>42465</v>
      </c>
      <c r="B319" s="36" t="s">
        <v>221</v>
      </c>
      <c r="C319" s="64">
        <v>13</v>
      </c>
      <c r="D319" s="39">
        <f t="shared" ca="1" si="43"/>
        <v>28</v>
      </c>
      <c r="E319" s="55">
        <f>COUNTIFS(A:A,表1[[#This Row],[时间]],B:B,表1[[#This Row],[项目]])</f>
        <v>2</v>
      </c>
      <c r="H319"/>
    </row>
    <row r="320" spans="1:8" x14ac:dyDescent="0.2">
      <c r="A320" s="54">
        <v>42465</v>
      </c>
      <c r="B320" s="36" t="s">
        <v>230</v>
      </c>
      <c r="C320" s="64">
        <v>13</v>
      </c>
      <c r="D320" s="39">
        <f t="shared" ca="1" si="43"/>
        <v>28</v>
      </c>
      <c r="E320" s="55">
        <f>COUNTIFS(A:A,表1[[#This Row],[时间]],B:B,表1[[#This Row],[项目]])</f>
        <v>2</v>
      </c>
      <c r="H320"/>
    </row>
    <row r="321" spans="1:8" x14ac:dyDescent="0.2">
      <c r="A321" s="54">
        <v>42465</v>
      </c>
      <c r="B321" s="36" t="s">
        <v>231</v>
      </c>
      <c r="C321" s="64">
        <v>13</v>
      </c>
      <c r="D321" s="39">
        <f t="shared" ca="1" si="43"/>
        <v>28</v>
      </c>
      <c r="E321" s="55">
        <f>COUNTIFS(A:A,表1[[#This Row],[时间]],B:B,表1[[#This Row],[项目]])</f>
        <v>2</v>
      </c>
      <c r="H321"/>
    </row>
    <row r="322" spans="1:8" x14ac:dyDescent="0.2">
      <c r="A322" s="54">
        <v>42465</v>
      </c>
      <c r="B322" s="36" t="s">
        <v>240</v>
      </c>
      <c r="C322" s="64">
        <v>15</v>
      </c>
      <c r="D322" s="39">
        <f t="shared" ca="1" si="43"/>
        <v>28</v>
      </c>
      <c r="E322" s="55">
        <f>COUNTIFS(A:A,表1[[#This Row],[时间]],B:B,表1[[#This Row],[项目]])</f>
        <v>3</v>
      </c>
      <c r="H322"/>
    </row>
    <row r="323" spans="1:8" x14ac:dyDescent="0.2">
      <c r="A323" s="54">
        <v>42465</v>
      </c>
      <c r="B323" s="36" t="s">
        <v>223</v>
      </c>
      <c r="C323" s="64">
        <v>17</v>
      </c>
      <c r="D323" s="39">
        <f t="shared" ca="1" si="43"/>
        <v>28</v>
      </c>
      <c r="E323" s="55">
        <f>COUNTIFS(A:A,表1[[#This Row],[时间]],B:B,表1[[#This Row],[项目]])</f>
        <v>3</v>
      </c>
    </row>
    <row r="324" spans="1:8" x14ac:dyDescent="0.2">
      <c r="A324" s="54">
        <v>42465</v>
      </c>
      <c r="B324" s="36" t="s">
        <v>219</v>
      </c>
      <c r="C324" s="64">
        <v>12</v>
      </c>
      <c r="D324" s="39">
        <f t="shared" ref="D324:D329" ca="1" si="44">TODAY()-ROUNDDOWN(A324,0)</f>
        <v>28</v>
      </c>
      <c r="E324" s="55">
        <f>COUNTIFS(A:A,表1[[#This Row],[时间]],B:B,表1[[#This Row],[项目]])</f>
        <v>2</v>
      </c>
    </row>
    <row r="325" spans="1:8" x14ac:dyDescent="0.2">
      <c r="A325" s="54">
        <v>42465</v>
      </c>
      <c r="B325" s="36" t="s">
        <v>221</v>
      </c>
      <c r="C325" s="64">
        <v>12</v>
      </c>
      <c r="D325" s="39">
        <f t="shared" ca="1" si="44"/>
        <v>28</v>
      </c>
      <c r="E325" s="55">
        <f>COUNTIFS(A:A,表1[[#This Row],[时间]],B:B,表1[[#This Row],[项目]])</f>
        <v>2</v>
      </c>
    </row>
    <row r="326" spans="1:8" x14ac:dyDescent="0.2">
      <c r="A326" s="54">
        <v>42465</v>
      </c>
      <c r="B326" s="36" t="s">
        <v>230</v>
      </c>
      <c r="C326" s="64">
        <v>24</v>
      </c>
      <c r="D326" s="39">
        <f t="shared" ca="1" si="44"/>
        <v>28</v>
      </c>
      <c r="E326" s="55">
        <f>COUNTIFS(A:A,表1[[#This Row],[时间]],B:B,表1[[#This Row],[项目]])</f>
        <v>2</v>
      </c>
    </row>
    <row r="327" spans="1:8" x14ac:dyDescent="0.2">
      <c r="A327" s="54">
        <v>42465</v>
      </c>
      <c r="B327" s="36" t="s">
        <v>231</v>
      </c>
      <c r="C327" s="64">
        <v>24</v>
      </c>
      <c r="D327" s="39">
        <f t="shared" ca="1" si="44"/>
        <v>28</v>
      </c>
      <c r="E327" s="55">
        <f>COUNTIFS(A:A,表1[[#This Row],[时间]],B:B,表1[[#This Row],[项目]])</f>
        <v>2</v>
      </c>
    </row>
    <row r="328" spans="1:8" x14ac:dyDescent="0.2">
      <c r="A328" s="54">
        <v>42465</v>
      </c>
      <c r="B328" s="36" t="s">
        <v>240</v>
      </c>
      <c r="C328" s="64">
        <v>14</v>
      </c>
      <c r="D328" s="39">
        <f t="shared" ca="1" si="44"/>
        <v>28</v>
      </c>
      <c r="E328" s="55">
        <f>COUNTIFS(A:A,表1[[#This Row],[时间]],B:B,表1[[#This Row],[项目]])</f>
        <v>3</v>
      </c>
    </row>
    <row r="329" spans="1:8" x14ac:dyDescent="0.2">
      <c r="A329" s="54">
        <v>42465</v>
      </c>
      <c r="B329" s="36" t="s">
        <v>223</v>
      </c>
      <c r="C329" s="64">
        <v>16</v>
      </c>
      <c r="D329" s="39">
        <f t="shared" ca="1" si="44"/>
        <v>28</v>
      </c>
      <c r="E329" s="55">
        <f>COUNTIFS(A:A,表1[[#This Row],[时间]],B:B,表1[[#This Row],[项目]])</f>
        <v>3</v>
      </c>
    </row>
    <row r="330" spans="1:8" x14ac:dyDescent="0.2">
      <c r="A330" s="54">
        <v>42465</v>
      </c>
      <c r="B330" s="36" t="s">
        <v>240</v>
      </c>
      <c r="C330" s="64">
        <v>15</v>
      </c>
      <c r="D330" s="39">
        <f t="shared" ref="D330:D331" ca="1" si="45">TODAY()-ROUNDDOWN(A330,0)</f>
        <v>28</v>
      </c>
      <c r="E330" s="55">
        <f>COUNTIFS(A:A,表1[[#This Row],[时间]],B:B,表1[[#This Row],[项目]])</f>
        <v>3</v>
      </c>
    </row>
    <row r="331" spans="1:8" x14ac:dyDescent="0.2">
      <c r="A331" s="54">
        <v>42465</v>
      </c>
      <c r="B331" s="36" t="s">
        <v>223</v>
      </c>
      <c r="C331" s="64">
        <v>15</v>
      </c>
      <c r="D331" s="39">
        <f t="shared" ca="1" si="45"/>
        <v>28</v>
      </c>
      <c r="E331" s="55">
        <f>COUNTIFS(A:A,表1[[#This Row],[时间]],B:B,表1[[#This Row],[项目]])</f>
        <v>3</v>
      </c>
    </row>
    <row r="332" spans="1:8" x14ac:dyDescent="0.2">
      <c r="A332" s="54">
        <v>42466</v>
      </c>
      <c r="B332" t="s">
        <v>247</v>
      </c>
      <c r="C332" s="64">
        <v>500</v>
      </c>
      <c r="D332" s="39">
        <f ca="1">TODAY()-ROUNDDOWN(A332,0)</f>
        <v>27</v>
      </c>
      <c r="E332" s="55">
        <f>COUNTIFS(A:A,表1[[#This Row],[时间]],B:B,表1[[#This Row],[项目]])</f>
        <v>3</v>
      </c>
    </row>
    <row r="333" spans="1:8" x14ac:dyDescent="0.2">
      <c r="A333" s="54">
        <v>42466</v>
      </c>
      <c r="B333" t="s">
        <v>247</v>
      </c>
      <c r="C333" s="64">
        <v>250</v>
      </c>
      <c r="D333" s="39">
        <f t="shared" ref="D333:D335" ca="1" si="46">TODAY()-ROUNDDOWN(A333,0)</f>
        <v>27</v>
      </c>
      <c r="E333" s="55">
        <f>COUNTIFS(A:A,表1[[#This Row],[时间]],B:B,表1[[#This Row],[项目]])</f>
        <v>3</v>
      </c>
    </row>
    <row r="334" spans="1:8" x14ac:dyDescent="0.2">
      <c r="A334" s="54">
        <v>42466</v>
      </c>
      <c r="B334" t="s">
        <v>247</v>
      </c>
      <c r="C334" s="64">
        <v>250</v>
      </c>
      <c r="D334" s="39">
        <f t="shared" ca="1" si="46"/>
        <v>27</v>
      </c>
      <c r="E334" s="55">
        <f>COUNTIFS(A:A,表1[[#This Row],[时间]],B:B,表1[[#This Row],[项目]])</f>
        <v>3</v>
      </c>
    </row>
    <row r="335" spans="1:8" x14ac:dyDescent="0.2">
      <c r="A335" s="54">
        <v>42467</v>
      </c>
      <c r="B335" t="s">
        <v>247</v>
      </c>
      <c r="C335" s="64">
        <v>250</v>
      </c>
      <c r="D335" s="39">
        <f t="shared" ca="1" si="46"/>
        <v>26</v>
      </c>
      <c r="E335" s="55">
        <f>COUNTIFS(A:A,表1[[#This Row],[时间]],B:B,表1[[#This Row],[项目]])</f>
        <v>1</v>
      </c>
    </row>
    <row r="336" spans="1:8" x14ac:dyDescent="0.2">
      <c r="A336" s="54">
        <v>42468</v>
      </c>
      <c r="B336" t="s">
        <v>247</v>
      </c>
      <c r="C336" s="64">
        <v>400</v>
      </c>
      <c r="D336" s="39">
        <f ca="1">TODAY()-ROUNDDOWN(A336,0)</f>
        <v>25</v>
      </c>
      <c r="E336" s="55">
        <f>COUNTIFS(A:A,表1[[#This Row],[时间]],B:B,表1[[#This Row],[项目]])</f>
        <v>3</v>
      </c>
    </row>
    <row r="337" spans="1:8" x14ac:dyDescent="0.2">
      <c r="A337" s="54">
        <v>42468</v>
      </c>
      <c r="B337" t="s">
        <v>247</v>
      </c>
      <c r="C337" s="64">
        <v>300</v>
      </c>
      <c r="D337" s="39">
        <f t="shared" ref="D337:D351" ca="1" si="47">TODAY()-ROUNDDOWN(A337,0)</f>
        <v>25</v>
      </c>
      <c r="E337" s="55">
        <f>COUNTIFS(A:A,表1[[#This Row],[时间]],B:B,表1[[#This Row],[项目]])</f>
        <v>3</v>
      </c>
    </row>
    <row r="338" spans="1:8" x14ac:dyDescent="0.2">
      <c r="A338" s="54">
        <v>42468</v>
      </c>
      <c r="B338" t="s">
        <v>247</v>
      </c>
      <c r="C338" s="64">
        <v>300</v>
      </c>
      <c r="D338" s="39">
        <f t="shared" ca="1" si="47"/>
        <v>25</v>
      </c>
      <c r="E338" s="55">
        <f>COUNTIFS(A:A,表1[[#This Row],[时间]],B:B,表1[[#This Row],[项目]])</f>
        <v>3</v>
      </c>
    </row>
    <row r="339" spans="1:8" x14ac:dyDescent="0.2">
      <c r="A339" s="54">
        <v>42469</v>
      </c>
      <c r="B339" t="s">
        <v>247</v>
      </c>
      <c r="C339" s="64">
        <v>300</v>
      </c>
      <c r="D339" s="39">
        <f t="shared" ca="1" si="47"/>
        <v>24</v>
      </c>
      <c r="E339" s="55">
        <f>COUNTIFS(A:A,表1[[#This Row],[时间]],B:B,表1[[#This Row],[项目]])</f>
        <v>2</v>
      </c>
    </row>
    <row r="340" spans="1:8" x14ac:dyDescent="0.2">
      <c r="A340" s="54">
        <v>42469</v>
      </c>
      <c r="B340" t="s">
        <v>247</v>
      </c>
      <c r="C340" s="64">
        <v>300</v>
      </c>
      <c r="D340" s="39">
        <f t="shared" ca="1" si="47"/>
        <v>24</v>
      </c>
      <c r="E340" s="55">
        <f>COUNTIFS(A:A,表1[[#This Row],[时间]],B:B,表1[[#This Row],[项目]])</f>
        <v>2</v>
      </c>
    </row>
    <row r="341" spans="1:8" x14ac:dyDescent="0.2">
      <c r="A341" s="54">
        <v>42471</v>
      </c>
      <c r="B341" t="s">
        <v>247</v>
      </c>
      <c r="C341" s="64">
        <v>490</v>
      </c>
      <c r="D341" s="39">
        <f t="shared" ca="1" si="47"/>
        <v>22</v>
      </c>
      <c r="E341" s="55">
        <f>COUNTIFS(A:A,表1[[#This Row],[时间]],B:B,表1[[#This Row],[项目]])</f>
        <v>1</v>
      </c>
    </row>
    <row r="342" spans="1:8" x14ac:dyDescent="0.2">
      <c r="A342" s="54">
        <v>42473</v>
      </c>
      <c r="B342" t="s">
        <v>247</v>
      </c>
      <c r="C342" s="64">
        <v>470</v>
      </c>
      <c r="D342" s="39">
        <f t="shared" ca="1" si="47"/>
        <v>20</v>
      </c>
      <c r="E342" s="55">
        <f>COUNTIFS(A:A,表1[[#This Row],[时间]],B:B,表1[[#This Row],[项目]])</f>
        <v>3</v>
      </c>
    </row>
    <row r="343" spans="1:8" x14ac:dyDescent="0.2">
      <c r="A343" s="54">
        <v>42473</v>
      </c>
      <c r="B343" t="s">
        <v>247</v>
      </c>
      <c r="C343" s="64">
        <v>500</v>
      </c>
      <c r="D343" s="39">
        <f t="shared" ca="1" si="47"/>
        <v>20</v>
      </c>
      <c r="E343" s="55">
        <f>COUNTIFS(A:A,表1[[#This Row],[时间]],B:B,表1[[#This Row],[项目]])</f>
        <v>3</v>
      </c>
    </row>
    <row r="344" spans="1:8" x14ac:dyDescent="0.2">
      <c r="A344" s="54">
        <v>42473</v>
      </c>
      <c r="B344" t="s">
        <v>247</v>
      </c>
      <c r="C344" s="64">
        <v>510</v>
      </c>
      <c r="D344" s="39">
        <f t="shared" ca="1" si="47"/>
        <v>20</v>
      </c>
      <c r="E344" s="55">
        <f>COUNTIFS(A:A,表1[[#This Row],[时间]],B:B,表1[[#This Row],[项目]])</f>
        <v>3</v>
      </c>
    </row>
    <row r="345" spans="1:8" x14ac:dyDescent="0.2">
      <c r="A345" s="54">
        <v>42474</v>
      </c>
      <c r="B345" t="s">
        <v>247</v>
      </c>
      <c r="C345" s="64">
        <v>100</v>
      </c>
      <c r="D345" s="39">
        <f t="shared" ca="1" si="47"/>
        <v>19</v>
      </c>
      <c r="E345" s="55">
        <f>COUNTIFS(A:A,表1[[#This Row],[时间]],B:B,表1[[#This Row],[项目]])</f>
        <v>3</v>
      </c>
    </row>
    <row r="346" spans="1:8" x14ac:dyDescent="0.2">
      <c r="A346" s="54">
        <v>42474</v>
      </c>
      <c r="B346" t="s">
        <v>247</v>
      </c>
      <c r="C346" s="64">
        <v>150</v>
      </c>
      <c r="D346" s="39">
        <f t="shared" ca="1" si="47"/>
        <v>19</v>
      </c>
      <c r="E346" s="55">
        <f>COUNTIFS(A:A,表1[[#This Row],[时间]],B:B,表1[[#This Row],[项目]])</f>
        <v>3</v>
      </c>
      <c r="H346"/>
    </row>
    <row r="347" spans="1:8" x14ac:dyDescent="0.2">
      <c r="A347" s="54">
        <v>42474</v>
      </c>
      <c r="B347" t="s">
        <v>247</v>
      </c>
      <c r="C347" s="64">
        <v>367</v>
      </c>
      <c r="D347" s="39">
        <f t="shared" ca="1" si="47"/>
        <v>19</v>
      </c>
      <c r="E347" s="55">
        <f>COUNTIFS(A:A,表1[[#This Row],[时间]],B:B,表1[[#This Row],[项目]])</f>
        <v>3</v>
      </c>
      <c r="H347"/>
    </row>
    <row r="348" spans="1:8" x14ac:dyDescent="0.2">
      <c r="A348" s="54">
        <v>42476</v>
      </c>
      <c r="B348" t="s">
        <v>247</v>
      </c>
      <c r="C348" s="64">
        <v>250</v>
      </c>
      <c r="D348" s="39">
        <f t="shared" ca="1" si="47"/>
        <v>17</v>
      </c>
      <c r="E348" s="55">
        <f>COUNTIFS(A:A,表1[[#This Row],[时间]],B:B,表1[[#This Row],[项目]])</f>
        <v>3</v>
      </c>
      <c r="H348"/>
    </row>
    <row r="349" spans="1:8" x14ac:dyDescent="0.2">
      <c r="A349" s="54">
        <v>42476</v>
      </c>
      <c r="B349" t="s">
        <v>247</v>
      </c>
      <c r="C349" s="64">
        <v>550</v>
      </c>
      <c r="D349" s="39">
        <f t="shared" ca="1" si="47"/>
        <v>17</v>
      </c>
      <c r="E349" s="55">
        <f>COUNTIFS(A:A,表1[[#This Row],[时间]],B:B,表1[[#This Row],[项目]])</f>
        <v>3</v>
      </c>
      <c r="H349"/>
    </row>
    <row r="350" spans="1:8" x14ac:dyDescent="0.2">
      <c r="A350" s="54">
        <v>42476</v>
      </c>
      <c r="B350" t="s">
        <v>247</v>
      </c>
      <c r="C350" s="64">
        <v>510</v>
      </c>
      <c r="D350" s="39">
        <f t="shared" ca="1" si="47"/>
        <v>17</v>
      </c>
      <c r="E350" s="55">
        <f>COUNTIFS(A:A,表1[[#This Row],[时间]],B:B,表1[[#This Row],[项目]])</f>
        <v>3</v>
      </c>
      <c r="H350"/>
    </row>
    <row r="351" spans="1:8" x14ac:dyDescent="0.2">
      <c r="A351" s="54">
        <v>42477</v>
      </c>
      <c r="B351" s="36" t="s">
        <v>230</v>
      </c>
      <c r="C351" s="64">
        <v>13</v>
      </c>
      <c r="D351" s="39">
        <f t="shared" ca="1" si="47"/>
        <v>16</v>
      </c>
      <c r="E351" s="55">
        <f>COUNTIFS(A:A,表1[[#This Row],[时间]],B:B,表1[[#This Row],[项目]])</f>
        <v>1</v>
      </c>
      <c r="H351"/>
    </row>
    <row r="352" spans="1:8" x14ac:dyDescent="0.2">
      <c r="A352" s="54">
        <v>42477</v>
      </c>
      <c r="B352" s="36" t="s">
        <v>231</v>
      </c>
      <c r="C352" s="64">
        <v>16</v>
      </c>
      <c r="D352" s="39">
        <f ca="1">TODAY()-ROUNDDOWN(A352,0)</f>
        <v>16</v>
      </c>
      <c r="E352" s="55">
        <f>COUNTIFS(A:A,表1[[#This Row],[时间]],B:B,表1[[#This Row],[项目]])</f>
        <v>1</v>
      </c>
    </row>
    <row r="353" spans="1:8" x14ac:dyDescent="0.2">
      <c r="A353" s="54">
        <v>42477</v>
      </c>
      <c r="B353" s="70" t="s">
        <v>132</v>
      </c>
      <c r="C353" s="64">
        <v>15</v>
      </c>
      <c r="D353" s="39">
        <f ca="1">TODAY()-ROUNDDOWN(A353,0)</f>
        <v>16</v>
      </c>
      <c r="E353" s="55">
        <f>COUNTIFS(A:A,表1[[#This Row],[时间]],B:B,表1[[#This Row],[项目]])</f>
        <v>1</v>
      </c>
    </row>
    <row r="354" spans="1:8" x14ac:dyDescent="0.2">
      <c r="A354" s="54">
        <v>42478</v>
      </c>
      <c r="B354" t="s">
        <v>269</v>
      </c>
      <c r="C354" s="64">
        <v>14</v>
      </c>
      <c r="D354" s="39">
        <f t="shared" ref="D354:D357" ca="1" si="48">TODAY()-ROUNDDOWN(A354,0)</f>
        <v>15</v>
      </c>
      <c r="E354" s="55">
        <f>COUNTIFS(A:A,表1[[#This Row],[时间]],B:B,表1[[#This Row],[项目]])</f>
        <v>2</v>
      </c>
    </row>
    <row r="355" spans="1:8" x14ac:dyDescent="0.2">
      <c r="A355" s="54">
        <v>42478</v>
      </c>
      <c r="B355" t="s">
        <v>270</v>
      </c>
      <c r="C355" s="64">
        <v>14</v>
      </c>
      <c r="D355" s="39">
        <f t="shared" ca="1" si="48"/>
        <v>15</v>
      </c>
      <c r="E355" s="55">
        <f>COUNTIFS(A:A,表1[[#This Row],[时间]],B:B,表1[[#This Row],[项目]])</f>
        <v>2</v>
      </c>
    </row>
    <row r="356" spans="1:8" x14ac:dyDescent="0.2">
      <c r="A356" s="54">
        <v>42478</v>
      </c>
      <c r="B356" t="s">
        <v>271</v>
      </c>
      <c r="C356" s="64">
        <v>14</v>
      </c>
      <c r="D356" s="39">
        <f t="shared" ca="1" si="48"/>
        <v>15</v>
      </c>
      <c r="E356" s="55">
        <f>COUNTIFS(A:A,表1[[#This Row],[时间]],B:B,表1[[#This Row],[项目]])</f>
        <v>3</v>
      </c>
    </row>
    <row r="357" spans="1:8" x14ac:dyDescent="0.2">
      <c r="A357" s="54">
        <v>42478</v>
      </c>
      <c r="B357" t="s">
        <v>272</v>
      </c>
      <c r="C357" s="64">
        <v>14</v>
      </c>
      <c r="D357" s="39">
        <f t="shared" ca="1" si="48"/>
        <v>15</v>
      </c>
      <c r="E357" s="55">
        <f>COUNTIFS(A:A,表1[[#This Row],[时间]],B:B,表1[[#This Row],[项目]])</f>
        <v>3</v>
      </c>
    </row>
    <row r="358" spans="1:8" x14ac:dyDescent="0.2">
      <c r="A358" s="54">
        <v>42478</v>
      </c>
      <c r="B358" t="s">
        <v>198</v>
      </c>
      <c r="C358" s="64">
        <v>18</v>
      </c>
      <c r="D358" s="39">
        <f ca="1">TODAY()-ROUNDDOWN(A358,0)</f>
        <v>15</v>
      </c>
      <c r="E358" s="55">
        <f>COUNTIFS(A:A,表1[[#This Row],[时间]],B:B,表1[[#This Row],[项目]])</f>
        <v>3</v>
      </c>
    </row>
    <row r="359" spans="1:8" x14ac:dyDescent="0.2">
      <c r="A359" s="54">
        <v>42478</v>
      </c>
      <c r="B359" t="s">
        <v>241</v>
      </c>
      <c r="C359" s="64">
        <v>14</v>
      </c>
      <c r="D359" s="39">
        <f ca="1">TODAY()-ROUNDDOWN(A359,0)</f>
        <v>15</v>
      </c>
      <c r="E359" s="55">
        <f>COUNTIFS(A:A,表1[[#This Row],[时间]],B:B,表1[[#This Row],[项目]])</f>
        <v>3</v>
      </c>
    </row>
    <row r="360" spans="1:8" x14ac:dyDescent="0.2">
      <c r="A360" s="54">
        <v>42478</v>
      </c>
      <c r="B360" t="s">
        <v>190</v>
      </c>
      <c r="C360" s="64">
        <v>14</v>
      </c>
      <c r="D360" s="39">
        <f ca="1">TODAY()-ROUNDDOWN(A360,0)</f>
        <v>15</v>
      </c>
      <c r="E360" s="55">
        <f>COUNTIFS(A:A,表1[[#This Row],[时间]],B:B,表1[[#This Row],[项目]])</f>
        <v>3</v>
      </c>
    </row>
    <row r="361" spans="1:8" x14ac:dyDescent="0.2">
      <c r="A361" s="54">
        <v>42478</v>
      </c>
      <c r="B361" t="s">
        <v>273</v>
      </c>
      <c r="C361" s="64">
        <v>10</v>
      </c>
      <c r="D361" s="39">
        <f ca="1">TODAY()-ROUNDDOWN(A361,0)</f>
        <v>15</v>
      </c>
      <c r="E361" s="55">
        <f>COUNTIFS(A:A,表1[[#This Row],[时间]],B:B,表1[[#This Row],[项目]])</f>
        <v>3</v>
      </c>
    </row>
    <row r="362" spans="1:8" x14ac:dyDescent="0.2">
      <c r="A362" s="54">
        <v>42478</v>
      </c>
      <c r="B362" t="s">
        <v>269</v>
      </c>
      <c r="C362" s="64">
        <v>13</v>
      </c>
      <c r="D362" s="39">
        <f t="shared" ref="D362:D369" ca="1" si="49">TODAY()-ROUNDDOWN(A362,0)</f>
        <v>15</v>
      </c>
      <c r="E362" s="55">
        <f>COUNTIFS(A:A,表1[[#This Row],[时间]],B:B,表1[[#This Row],[项目]])</f>
        <v>2</v>
      </c>
    </row>
    <row r="363" spans="1:8" x14ac:dyDescent="0.2">
      <c r="A363" s="54">
        <v>42478</v>
      </c>
      <c r="B363" t="s">
        <v>270</v>
      </c>
      <c r="C363" s="64">
        <v>13</v>
      </c>
      <c r="D363" s="39">
        <f t="shared" ca="1" si="49"/>
        <v>15</v>
      </c>
      <c r="E363" s="55">
        <f>COUNTIFS(A:A,表1[[#This Row],[时间]],B:B,表1[[#This Row],[项目]])</f>
        <v>2</v>
      </c>
      <c r="H363"/>
    </row>
    <row r="364" spans="1:8" x14ac:dyDescent="0.2">
      <c r="A364" s="54">
        <v>42478</v>
      </c>
      <c r="B364" t="s">
        <v>271</v>
      </c>
      <c r="C364" s="64">
        <v>14</v>
      </c>
      <c r="D364" s="39">
        <f t="shared" ca="1" si="49"/>
        <v>15</v>
      </c>
      <c r="E364" s="55">
        <f>COUNTIFS(A:A,表1[[#This Row],[时间]],B:B,表1[[#This Row],[项目]])</f>
        <v>3</v>
      </c>
    </row>
    <row r="365" spans="1:8" x14ac:dyDescent="0.2">
      <c r="A365" s="54">
        <v>42478</v>
      </c>
      <c r="B365" t="s">
        <v>272</v>
      </c>
      <c r="C365" s="64">
        <v>14</v>
      </c>
      <c r="D365" s="39">
        <f t="shared" ca="1" si="49"/>
        <v>15</v>
      </c>
      <c r="E365" s="55">
        <f>COUNTIFS(A:A,表1[[#This Row],[时间]],B:B,表1[[#This Row],[项目]])</f>
        <v>3</v>
      </c>
    </row>
    <row r="366" spans="1:8" x14ac:dyDescent="0.2">
      <c r="A366" s="54">
        <v>42478</v>
      </c>
      <c r="B366" t="s">
        <v>198</v>
      </c>
      <c r="C366" s="64">
        <v>14</v>
      </c>
      <c r="D366" s="39">
        <f t="shared" ca="1" si="49"/>
        <v>15</v>
      </c>
      <c r="E366" s="55">
        <f>COUNTIFS(A:A,表1[[#This Row],[时间]],B:B,表1[[#This Row],[项目]])</f>
        <v>3</v>
      </c>
    </row>
    <row r="367" spans="1:8" x14ac:dyDescent="0.2">
      <c r="A367" s="54">
        <v>42478</v>
      </c>
      <c r="B367" t="s">
        <v>241</v>
      </c>
      <c r="C367" s="64">
        <v>14</v>
      </c>
      <c r="D367" s="39">
        <f t="shared" ca="1" si="49"/>
        <v>15</v>
      </c>
      <c r="E367" s="55">
        <f>COUNTIFS(A:A,表1[[#This Row],[时间]],B:B,表1[[#This Row],[项目]])</f>
        <v>3</v>
      </c>
    </row>
    <row r="368" spans="1:8" x14ac:dyDescent="0.2">
      <c r="A368" s="54">
        <v>42478</v>
      </c>
      <c r="B368" t="s">
        <v>190</v>
      </c>
      <c r="C368" s="64">
        <v>14</v>
      </c>
      <c r="D368" s="39">
        <f t="shared" ca="1" si="49"/>
        <v>15</v>
      </c>
      <c r="E368" s="55">
        <f>COUNTIFS(A:A,表1[[#This Row],[时间]],B:B,表1[[#This Row],[项目]])</f>
        <v>3</v>
      </c>
    </row>
    <row r="369" spans="1:8" x14ac:dyDescent="0.2">
      <c r="A369" s="54">
        <v>42478</v>
      </c>
      <c r="B369" t="s">
        <v>273</v>
      </c>
      <c r="C369" s="64">
        <v>13</v>
      </c>
      <c r="D369" s="39">
        <f t="shared" ca="1" si="49"/>
        <v>15</v>
      </c>
      <c r="E369" s="55">
        <f>COUNTIFS(A:A,表1[[#This Row],[时间]],B:B,表1[[#This Row],[项目]])</f>
        <v>3</v>
      </c>
    </row>
    <row r="370" spans="1:8" x14ac:dyDescent="0.2">
      <c r="A370" s="54">
        <v>42478</v>
      </c>
      <c r="B370" s="36" t="s">
        <v>274</v>
      </c>
      <c r="C370" s="64">
        <v>17</v>
      </c>
      <c r="D370" s="39">
        <f ca="1">TODAY()-ROUNDDOWN(A370,0)</f>
        <v>15</v>
      </c>
      <c r="E370" s="55">
        <f>COUNTIFS(A:A,表1[[#This Row],[时间]],B:B,表1[[#This Row],[项目]])</f>
        <v>2</v>
      </c>
    </row>
    <row r="371" spans="1:8" x14ac:dyDescent="0.2">
      <c r="A371" s="54">
        <v>42478</v>
      </c>
      <c r="B371" s="36" t="s">
        <v>275</v>
      </c>
      <c r="C371" s="64">
        <v>65</v>
      </c>
      <c r="D371" s="39">
        <f ca="1">TODAY()-ROUNDDOWN(A371,0)</f>
        <v>15</v>
      </c>
      <c r="E371" s="55">
        <f>COUNTIFS(A:A,表1[[#This Row],[时间]],B:B,表1[[#This Row],[项目]])</f>
        <v>1</v>
      </c>
    </row>
    <row r="372" spans="1:8" x14ac:dyDescent="0.2">
      <c r="A372" s="54">
        <v>42478</v>
      </c>
      <c r="B372" t="s">
        <v>271</v>
      </c>
      <c r="C372" s="64">
        <v>15</v>
      </c>
      <c r="D372" s="39">
        <f t="shared" ref="D372:D378" ca="1" si="50">TODAY()-ROUNDDOWN(A372,0)</f>
        <v>15</v>
      </c>
      <c r="E372" s="55">
        <f>COUNTIFS(A:A,表1[[#This Row],[时间]],B:B,表1[[#This Row],[项目]])</f>
        <v>3</v>
      </c>
    </row>
    <row r="373" spans="1:8" x14ac:dyDescent="0.2">
      <c r="A373" s="54">
        <v>42478</v>
      </c>
      <c r="B373" t="s">
        <v>272</v>
      </c>
      <c r="C373" s="64">
        <v>15</v>
      </c>
      <c r="D373" s="39">
        <f t="shared" ca="1" si="50"/>
        <v>15</v>
      </c>
      <c r="E373" s="55">
        <f>COUNTIFS(A:A,表1[[#This Row],[时间]],B:B,表1[[#This Row],[项目]])</f>
        <v>3</v>
      </c>
    </row>
    <row r="374" spans="1:8" x14ac:dyDescent="0.2">
      <c r="A374" s="54">
        <v>42478</v>
      </c>
      <c r="B374" t="s">
        <v>198</v>
      </c>
      <c r="C374" s="64">
        <v>13</v>
      </c>
      <c r="D374" s="39">
        <f t="shared" ca="1" si="50"/>
        <v>15</v>
      </c>
      <c r="E374" s="55">
        <f>COUNTIFS(A:A,表1[[#This Row],[时间]],B:B,表1[[#This Row],[项目]])</f>
        <v>3</v>
      </c>
    </row>
    <row r="375" spans="1:8" x14ac:dyDescent="0.2">
      <c r="A375" s="54">
        <v>42478</v>
      </c>
      <c r="B375" t="s">
        <v>241</v>
      </c>
      <c r="C375" s="64">
        <v>15</v>
      </c>
      <c r="D375" s="39">
        <f t="shared" ca="1" si="50"/>
        <v>15</v>
      </c>
      <c r="E375" s="55">
        <f>COUNTIFS(A:A,表1[[#This Row],[时间]],B:B,表1[[#This Row],[项目]])</f>
        <v>3</v>
      </c>
      <c r="H375"/>
    </row>
    <row r="376" spans="1:8" x14ac:dyDescent="0.2">
      <c r="A376" s="54">
        <v>42478</v>
      </c>
      <c r="B376" t="s">
        <v>190</v>
      </c>
      <c r="C376" s="64">
        <v>15</v>
      </c>
      <c r="D376" s="39">
        <f t="shared" ca="1" si="50"/>
        <v>15</v>
      </c>
      <c r="E376" s="55">
        <f>COUNTIFS(A:A,表1[[#This Row],[时间]],B:B,表1[[#This Row],[项目]])</f>
        <v>3</v>
      </c>
      <c r="H376"/>
    </row>
    <row r="377" spans="1:8" x14ac:dyDescent="0.2">
      <c r="A377" s="54">
        <v>42478</v>
      </c>
      <c r="B377" t="s">
        <v>273</v>
      </c>
      <c r="C377" s="64">
        <v>10</v>
      </c>
      <c r="D377" s="39">
        <f t="shared" ca="1" si="50"/>
        <v>15</v>
      </c>
      <c r="E377" s="55">
        <f>COUNTIFS(A:A,表1[[#This Row],[时间]],B:B,表1[[#This Row],[项目]])</f>
        <v>3</v>
      </c>
      <c r="H377"/>
    </row>
    <row r="378" spans="1:8" x14ac:dyDescent="0.2">
      <c r="A378" s="54">
        <v>42478</v>
      </c>
      <c r="B378" s="36" t="s">
        <v>274</v>
      </c>
      <c r="C378" s="64">
        <v>18</v>
      </c>
      <c r="D378" s="39">
        <f t="shared" ca="1" si="50"/>
        <v>15</v>
      </c>
      <c r="E378" s="55">
        <f>COUNTIFS(A:A,表1[[#This Row],[时间]],B:B,表1[[#This Row],[项目]])</f>
        <v>2</v>
      </c>
      <c r="H378"/>
    </row>
    <row r="379" spans="1:8" x14ac:dyDescent="0.2">
      <c r="A379" s="54">
        <v>42481</v>
      </c>
      <c r="B379" t="s">
        <v>247</v>
      </c>
      <c r="C379" s="64">
        <v>500</v>
      </c>
      <c r="D379" s="39">
        <f ca="1">TODAY()-ROUNDDOWN(A379,0)</f>
        <v>12</v>
      </c>
      <c r="E379" s="55">
        <f>COUNTIFS(A:A,表1[[#This Row],[时间]],B:B,表1[[#This Row],[项目]])</f>
        <v>3</v>
      </c>
      <c r="H379"/>
    </row>
    <row r="380" spans="1:8" x14ac:dyDescent="0.2">
      <c r="A380" s="54">
        <v>42481</v>
      </c>
      <c r="B380" t="s">
        <v>247</v>
      </c>
      <c r="C380" s="64">
        <v>250</v>
      </c>
      <c r="D380" s="39">
        <f t="shared" ref="D380:D381" ca="1" si="51">TODAY()-ROUNDDOWN(A380,0)</f>
        <v>12</v>
      </c>
      <c r="E380" s="55">
        <f>COUNTIFS(A:A,表1[[#This Row],[时间]],B:B,表1[[#This Row],[项目]])</f>
        <v>3</v>
      </c>
      <c r="H380"/>
    </row>
    <row r="381" spans="1:8" x14ac:dyDescent="0.2">
      <c r="A381" s="54">
        <v>42481</v>
      </c>
      <c r="B381" t="s">
        <v>247</v>
      </c>
      <c r="C381" s="64">
        <v>550</v>
      </c>
      <c r="D381" s="39">
        <f t="shared" ca="1" si="51"/>
        <v>12</v>
      </c>
      <c r="E381" s="55">
        <f>COUNTIFS(A:A,表1[[#This Row],[时间]],B:B,表1[[#This Row],[项目]])</f>
        <v>3</v>
      </c>
      <c r="H381"/>
    </row>
    <row r="382" spans="1:8" x14ac:dyDescent="0.2">
      <c r="A382" s="54">
        <v>42486</v>
      </c>
      <c r="B382" t="s">
        <v>131</v>
      </c>
      <c r="C382" s="64">
        <v>14</v>
      </c>
      <c r="D382" s="39">
        <f ca="1">TODAY()-ROUNDDOWN(A382,0)</f>
        <v>7</v>
      </c>
      <c r="E382" s="55">
        <f>COUNTIFS(A:A,表1[[#This Row],[时间]],B:B,表1[[#This Row],[项目]])</f>
        <v>2</v>
      </c>
      <c r="H382"/>
    </row>
    <row r="383" spans="1:8" x14ac:dyDescent="0.2">
      <c r="A383" s="54">
        <v>42486</v>
      </c>
      <c r="B383" t="s">
        <v>269</v>
      </c>
      <c r="C383" s="64">
        <v>14</v>
      </c>
      <c r="D383" s="39">
        <f t="shared" ref="D383:D386" ca="1" si="52">TODAY()-ROUNDDOWN(A383,0)</f>
        <v>7</v>
      </c>
      <c r="E383" s="55">
        <f>COUNTIFS(A:A,表1[[#This Row],[时间]],B:B,表1[[#This Row],[项目]])</f>
        <v>2</v>
      </c>
      <c r="H383"/>
    </row>
    <row r="384" spans="1:8" x14ac:dyDescent="0.2">
      <c r="A384" s="54">
        <v>42486</v>
      </c>
      <c r="B384" t="s">
        <v>270</v>
      </c>
      <c r="C384" s="64">
        <v>14</v>
      </c>
      <c r="D384" s="39">
        <f t="shared" ca="1" si="52"/>
        <v>7</v>
      </c>
      <c r="E384" s="55">
        <f>COUNTIFS(A:A,表1[[#This Row],[时间]],B:B,表1[[#This Row],[项目]])</f>
        <v>2</v>
      </c>
      <c r="H384"/>
    </row>
    <row r="385" spans="1:8" x14ac:dyDescent="0.2">
      <c r="A385" s="54">
        <v>42486</v>
      </c>
      <c r="B385" t="s">
        <v>271</v>
      </c>
      <c r="C385" s="64">
        <v>14</v>
      </c>
      <c r="D385" s="39">
        <f t="shared" ca="1" si="52"/>
        <v>7</v>
      </c>
      <c r="E385" s="55">
        <f>COUNTIFS(A:A,表1[[#This Row],[时间]],B:B,表1[[#This Row],[项目]])</f>
        <v>3</v>
      </c>
      <c r="H385"/>
    </row>
    <row r="386" spans="1:8" x14ac:dyDescent="0.2">
      <c r="A386" s="54">
        <v>42486</v>
      </c>
      <c r="B386" t="s">
        <v>272</v>
      </c>
      <c r="C386" s="64">
        <v>14</v>
      </c>
      <c r="D386" s="39">
        <f t="shared" ca="1" si="52"/>
        <v>7</v>
      </c>
      <c r="E386" s="55">
        <f>COUNTIFS(A:A,表1[[#This Row],[时间]],B:B,表1[[#This Row],[项目]])</f>
        <v>3</v>
      </c>
      <c r="H386"/>
    </row>
    <row r="387" spans="1:8" x14ac:dyDescent="0.2">
      <c r="A387" s="54">
        <v>42486</v>
      </c>
      <c r="B387" t="s">
        <v>184</v>
      </c>
      <c r="C387" s="64">
        <v>14</v>
      </c>
      <c r="D387" s="39">
        <f ca="1">TODAY()-ROUNDDOWN(A387,0)</f>
        <v>7</v>
      </c>
      <c r="E387" s="55">
        <f>COUNTIFS(A:A,表1[[#This Row],[时间]],B:B,表1[[#This Row],[项目]])</f>
        <v>3</v>
      </c>
      <c r="H387"/>
    </row>
    <row r="388" spans="1:8" x14ac:dyDescent="0.2">
      <c r="A388" s="54">
        <v>42486</v>
      </c>
      <c r="B388" t="s">
        <v>198</v>
      </c>
      <c r="C388" s="64">
        <v>14</v>
      </c>
      <c r="D388" s="39">
        <f t="shared" ref="D388:D389" ca="1" si="53">TODAY()-ROUNDDOWN(A388,0)</f>
        <v>7</v>
      </c>
      <c r="E388" s="55">
        <f>COUNTIFS(A:A,表1[[#This Row],[时间]],B:B,表1[[#This Row],[项目]])</f>
        <v>3</v>
      </c>
    </row>
    <row r="389" spans="1:8" x14ac:dyDescent="0.2">
      <c r="A389" s="54">
        <v>42486</v>
      </c>
      <c r="B389" t="s">
        <v>273</v>
      </c>
      <c r="C389" s="64">
        <v>14</v>
      </c>
      <c r="D389" s="39">
        <f t="shared" ca="1" si="53"/>
        <v>7</v>
      </c>
      <c r="E389" s="55">
        <f>COUNTIFS(A:A,表1[[#This Row],[时间]],B:B,表1[[#This Row],[项目]])</f>
        <v>2</v>
      </c>
    </row>
    <row r="390" spans="1:8" x14ac:dyDescent="0.2">
      <c r="A390" s="54">
        <v>42486</v>
      </c>
      <c r="B390" t="s">
        <v>131</v>
      </c>
      <c r="C390" s="64">
        <v>14</v>
      </c>
      <c r="D390" s="39">
        <f t="shared" ref="D390:D397" ca="1" si="54">TODAY()-ROUNDDOWN(A390,0)</f>
        <v>7</v>
      </c>
      <c r="E390" s="55">
        <f>COUNTIFS(A:A,表1[[#This Row],[时间]],B:B,表1[[#This Row],[项目]])</f>
        <v>2</v>
      </c>
    </row>
    <row r="391" spans="1:8" x14ac:dyDescent="0.2">
      <c r="A391" s="54">
        <v>42486</v>
      </c>
      <c r="B391" t="s">
        <v>269</v>
      </c>
      <c r="C391" s="64">
        <v>14</v>
      </c>
      <c r="D391" s="39">
        <f t="shared" ca="1" si="54"/>
        <v>7</v>
      </c>
      <c r="E391" s="55">
        <f>COUNTIFS(A:A,表1[[#This Row],[时间]],B:B,表1[[#This Row],[项目]])</f>
        <v>2</v>
      </c>
    </row>
    <row r="392" spans="1:8" x14ac:dyDescent="0.2">
      <c r="A392" s="54">
        <v>42486</v>
      </c>
      <c r="B392" t="s">
        <v>270</v>
      </c>
      <c r="C392" s="64">
        <v>14</v>
      </c>
      <c r="D392" s="39">
        <f t="shared" ca="1" si="54"/>
        <v>7</v>
      </c>
      <c r="E392" s="55">
        <f>COUNTIFS(A:A,表1[[#This Row],[时间]],B:B,表1[[#This Row],[项目]])</f>
        <v>2</v>
      </c>
    </row>
    <row r="393" spans="1:8" x14ac:dyDescent="0.2">
      <c r="A393" s="54">
        <v>42486</v>
      </c>
      <c r="B393" t="s">
        <v>271</v>
      </c>
      <c r="C393" s="64">
        <v>14</v>
      </c>
      <c r="D393" s="39">
        <f t="shared" ca="1" si="54"/>
        <v>7</v>
      </c>
      <c r="E393" s="55">
        <f>COUNTIFS(A:A,表1[[#This Row],[时间]],B:B,表1[[#This Row],[项目]])</f>
        <v>3</v>
      </c>
    </row>
    <row r="394" spans="1:8" x14ac:dyDescent="0.2">
      <c r="A394" s="54">
        <v>42486</v>
      </c>
      <c r="B394" t="s">
        <v>272</v>
      </c>
      <c r="C394" s="64">
        <v>14</v>
      </c>
      <c r="D394" s="39">
        <f t="shared" ca="1" si="54"/>
        <v>7</v>
      </c>
      <c r="E394" s="55">
        <f>COUNTIFS(A:A,表1[[#This Row],[时间]],B:B,表1[[#This Row],[项目]])</f>
        <v>3</v>
      </c>
    </row>
    <row r="395" spans="1:8" x14ac:dyDescent="0.2">
      <c r="A395" s="54">
        <v>42486</v>
      </c>
      <c r="B395" t="s">
        <v>184</v>
      </c>
      <c r="C395" s="64">
        <v>14</v>
      </c>
      <c r="D395" s="39">
        <f t="shared" ca="1" si="54"/>
        <v>7</v>
      </c>
      <c r="E395" s="55">
        <f>COUNTIFS(A:A,表1[[#This Row],[时间]],B:B,表1[[#This Row],[项目]])</f>
        <v>3</v>
      </c>
    </row>
    <row r="396" spans="1:8" x14ac:dyDescent="0.2">
      <c r="A396" s="54">
        <v>42486</v>
      </c>
      <c r="B396" t="s">
        <v>198</v>
      </c>
      <c r="C396" s="64">
        <v>14</v>
      </c>
      <c r="D396" s="39">
        <f t="shared" ca="1" si="54"/>
        <v>7</v>
      </c>
      <c r="E396" s="55">
        <f>COUNTIFS(A:A,表1[[#This Row],[时间]],B:B,表1[[#This Row],[项目]])</f>
        <v>3</v>
      </c>
    </row>
    <row r="397" spans="1:8" x14ac:dyDescent="0.2">
      <c r="A397" s="54">
        <v>42486</v>
      </c>
      <c r="B397" t="s">
        <v>273</v>
      </c>
      <c r="C397" s="64">
        <v>14</v>
      </c>
      <c r="D397" s="39">
        <f t="shared" ca="1" si="54"/>
        <v>7</v>
      </c>
      <c r="E397" s="55">
        <f>COUNTIFS(A:A,表1[[#This Row],[时间]],B:B,表1[[#This Row],[项目]])</f>
        <v>2</v>
      </c>
    </row>
    <row r="398" spans="1:8" x14ac:dyDescent="0.2">
      <c r="A398" s="54">
        <v>42486</v>
      </c>
      <c r="B398" t="s">
        <v>271</v>
      </c>
      <c r="C398" s="64">
        <v>15</v>
      </c>
      <c r="D398" s="39">
        <f t="shared" ref="D398:D401" ca="1" si="55">TODAY()-ROUNDDOWN(A398,0)</f>
        <v>7</v>
      </c>
      <c r="E398" s="55">
        <f>COUNTIFS(A:A,表1[[#This Row],[时间]],B:B,表1[[#This Row],[项目]])</f>
        <v>3</v>
      </c>
    </row>
    <row r="399" spans="1:8" x14ac:dyDescent="0.2">
      <c r="A399" s="54">
        <v>42486</v>
      </c>
      <c r="B399" t="s">
        <v>272</v>
      </c>
      <c r="C399" s="64">
        <v>15</v>
      </c>
      <c r="D399" s="39">
        <f t="shared" ca="1" si="55"/>
        <v>7</v>
      </c>
      <c r="E399" s="55">
        <f>COUNTIFS(A:A,表1[[#This Row],[时间]],B:B,表1[[#This Row],[项目]])</f>
        <v>3</v>
      </c>
    </row>
    <row r="400" spans="1:8" x14ac:dyDescent="0.2">
      <c r="A400" s="54">
        <v>42486</v>
      </c>
      <c r="B400" t="s">
        <v>184</v>
      </c>
      <c r="C400" s="64">
        <v>14</v>
      </c>
      <c r="D400" s="39">
        <f t="shared" ca="1" si="55"/>
        <v>7</v>
      </c>
      <c r="E400" s="55">
        <f>COUNTIFS(A:A,表1[[#This Row],[时间]],B:B,表1[[#This Row],[项目]])</f>
        <v>3</v>
      </c>
    </row>
    <row r="401" spans="1:10" x14ac:dyDescent="0.2">
      <c r="A401" s="54">
        <v>42486</v>
      </c>
      <c r="B401" t="s">
        <v>198</v>
      </c>
      <c r="C401" s="64">
        <v>14</v>
      </c>
      <c r="D401" s="39">
        <f t="shared" ca="1" si="55"/>
        <v>7</v>
      </c>
      <c r="E401" s="55">
        <f>COUNTIFS(A:A,表1[[#This Row],[时间]],B:B,表1[[#This Row],[项目]])</f>
        <v>3</v>
      </c>
    </row>
    <row r="402" spans="1:10" x14ac:dyDescent="0.2">
      <c r="A402" s="54">
        <v>42491</v>
      </c>
      <c r="B402" t="s">
        <v>247</v>
      </c>
      <c r="C402" s="64">
        <v>543</v>
      </c>
      <c r="D402" s="39">
        <f ca="1">TODAY()-ROUNDDOWN(A402,0)</f>
        <v>2</v>
      </c>
      <c r="E402" s="55">
        <f>COUNTIFS(A:A,表1[[#This Row],[时间]],B:B,表1[[#This Row],[项目]])</f>
        <v>1</v>
      </c>
    </row>
    <row r="403" spans="1:10" x14ac:dyDescent="0.2">
      <c r="A403" s="54">
        <v>42491</v>
      </c>
      <c r="B403" t="s">
        <v>272</v>
      </c>
      <c r="C403" s="64">
        <v>15</v>
      </c>
      <c r="D403" s="39">
        <f t="shared" ref="D403:D409" ca="1" si="56">TODAY()-ROUNDDOWN(A403,0)</f>
        <v>2</v>
      </c>
      <c r="E403" s="55">
        <f>COUNTIFS(A:A,表1[[#This Row],[时间]],B:B,表1[[#This Row],[项目]])</f>
        <v>1</v>
      </c>
      <c r="H403" s="63" t="s">
        <v>217</v>
      </c>
      <c r="I403" s="63" t="s">
        <v>140</v>
      </c>
      <c r="J403" s="64"/>
    </row>
    <row r="404" spans="1:10" x14ac:dyDescent="0.2">
      <c r="A404" s="54">
        <v>42491</v>
      </c>
      <c r="B404" t="s">
        <v>241</v>
      </c>
      <c r="C404" s="64">
        <v>14</v>
      </c>
      <c r="D404" s="39">
        <f t="shared" ca="1" si="56"/>
        <v>2</v>
      </c>
      <c r="E404" s="55">
        <f>COUNTIFS(A:A,表1[[#This Row],[时间]],B:B,表1[[#This Row],[项目]])</f>
        <v>1</v>
      </c>
      <c r="H404" s="63" t="s">
        <v>138</v>
      </c>
      <c r="I404" s="64" t="s">
        <v>286</v>
      </c>
      <c r="J404" s="64" t="s">
        <v>139</v>
      </c>
    </row>
    <row r="405" spans="1:10" x14ac:dyDescent="0.2">
      <c r="A405" s="54">
        <v>42491</v>
      </c>
      <c r="B405" t="s">
        <v>242</v>
      </c>
      <c r="C405" s="64">
        <v>15</v>
      </c>
      <c r="D405" s="39">
        <f t="shared" ca="1" si="56"/>
        <v>2</v>
      </c>
      <c r="E405" s="55">
        <f>COUNTIFS(A:A,表1[[#This Row],[时间]],B:B,表1[[#This Row],[项目]])</f>
        <v>1</v>
      </c>
      <c r="H405" s="65" t="s">
        <v>131</v>
      </c>
      <c r="I405" s="64">
        <v>18</v>
      </c>
      <c r="J405" s="64">
        <v>18</v>
      </c>
    </row>
    <row r="406" spans="1:10" x14ac:dyDescent="0.2">
      <c r="A406" s="54">
        <v>42491</v>
      </c>
      <c r="B406" t="s">
        <v>243</v>
      </c>
      <c r="C406" s="64">
        <v>15</v>
      </c>
      <c r="D406" s="39">
        <f t="shared" ca="1" si="56"/>
        <v>2</v>
      </c>
      <c r="E406" s="55">
        <f>COUNTIFS(A:A,表1[[#This Row],[时间]],B:B,表1[[#This Row],[项目]])</f>
        <v>1</v>
      </c>
      <c r="H406" s="65" t="s">
        <v>211</v>
      </c>
      <c r="I406" s="64">
        <v>14</v>
      </c>
      <c r="J406" s="64">
        <v>14</v>
      </c>
    </row>
    <row r="407" spans="1:10" x14ac:dyDescent="0.2">
      <c r="A407" s="54">
        <v>42491</v>
      </c>
      <c r="B407" t="s">
        <v>244</v>
      </c>
      <c r="C407" s="64">
        <v>15</v>
      </c>
      <c r="D407" s="39">
        <f t="shared" ca="1" si="56"/>
        <v>2</v>
      </c>
      <c r="E407" s="55">
        <f>COUNTIFS(A:A,表1[[#This Row],[时间]],B:B,表1[[#This Row],[项目]])</f>
        <v>1</v>
      </c>
      <c r="H407" s="65" t="s">
        <v>215</v>
      </c>
      <c r="I407" s="64">
        <v>20</v>
      </c>
      <c r="J407" s="64">
        <v>20</v>
      </c>
    </row>
    <row r="408" spans="1:10" x14ac:dyDescent="0.2">
      <c r="A408" s="54">
        <v>42491</v>
      </c>
      <c r="B408" t="s">
        <v>211</v>
      </c>
      <c r="C408" s="64">
        <v>14</v>
      </c>
      <c r="D408" s="39">
        <f t="shared" ca="1" si="56"/>
        <v>2</v>
      </c>
      <c r="E408" s="55">
        <f>COUNTIFS(A:A,表1[[#This Row],[时间]],B:B,表1[[#This Row],[项目]])</f>
        <v>1</v>
      </c>
      <c r="H408" s="65" t="s">
        <v>272</v>
      </c>
      <c r="I408" s="64">
        <v>15</v>
      </c>
      <c r="J408" s="64">
        <v>15</v>
      </c>
    </row>
    <row r="409" spans="1:10" x14ac:dyDescent="0.2">
      <c r="A409" s="54">
        <v>42491</v>
      </c>
      <c r="B409" t="s">
        <v>215</v>
      </c>
      <c r="C409" s="64">
        <v>20</v>
      </c>
      <c r="D409" s="39">
        <f t="shared" ca="1" si="56"/>
        <v>2</v>
      </c>
      <c r="E409" s="55">
        <f>COUNTIFS(A:A,表1[[#This Row],[时间]],B:B,表1[[#This Row],[项目]])</f>
        <v>1</v>
      </c>
      <c r="H409" s="65" t="s">
        <v>241</v>
      </c>
      <c r="I409" s="64">
        <v>14</v>
      </c>
      <c r="J409" s="64">
        <v>14</v>
      </c>
    </row>
    <row r="410" spans="1:10" x14ac:dyDescent="0.2">
      <c r="A410" s="54">
        <v>42491</v>
      </c>
      <c r="B410" t="s">
        <v>131</v>
      </c>
      <c r="C410" s="64">
        <v>18</v>
      </c>
      <c r="D410" s="39">
        <f ca="1">TODAY()-ROUNDDOWN(A410,0)</f>
        <v>2</v>
      </c>
      <c r="E410" s="55">
        <f>COUNTIFS(A:A,表1[[#This Row],[时间]],B:B,表1[[#This Row],[项目]])</f>
        <v>1</v>
      </c>
      <c r="H410" s="65" t="s">
        <v>242</v>
      </c>
      <c r="I410" s="64">
        <v>15</v>
      </c>
      <c r="J410" s="64">
        <v>15</v>
      </c>
    </row>
    <row r="411" spans="1:10" x14ac:dyDescent="0.2">
      <c r="A411" s="54">
        <v>42491</v>
      </c>
      <c r="B411" t="s">
        <v>271</v>
      </c>
      <c r="C411" s="64">
        <v>16</v>
      </c>
      <c r="D411" s="39">
        <f ca="1">TODAY()-ROUNDDOWN(A411,0)</f>
        <v>2</v>
      </c>
      <c r="E411" s="55">
        <f>COUNTIFS(A:A,表1[[#This Row],[时间]],B:B,表1[[#This Row],[项目]])</f>
        <v>1</v>
      </c>
      <c r="H411" s="65" t="s">
        <v>243</v>
      </c>
      <c r="I411" s="64">
        <v>15</v>
      </c>
      <c r="J411" s="64">
        <v>15</v>
      </c>
    </row>
    <row r="412" spans="1:10" x14ac:dyDescent="0.2">
      <c r="B412" t="s">
        <v>205</v>
      </c>
      <c r="C412" s="64">
        <v>14</v>
      </c>
      <c r="D412" s="39">
        <f t="shared" ref="D412:D416" ca="1" si="57">TODAY()-ROUNDDOWN(A412,0)</f>
        <v>42493</v>
      </c>
      <c r="E412" s="55">
        <f>COUNTIFS(A:A,表1[[#This Row],[时间]],B:B,表1[[#This Row],[项目]])</f>
        <v>0</v>
      </c>
      <c r="H412" s="65" t="s">
        <v>244</v>
      </c>
      <c r="I412" s="64">
        <v>15</v>
      </c>
      <c r="J412" s="64">
        <v>15</v>
      </c>
    </row>
    <row r="413" spans="1:10" x14ac:dyDescent="0.2">
      <c r="B413" t="s">
        <v>184</v>
      </c>
      <c r="C413" s="64">
        <v>20</v>
      </c>
      <c r="D413" s="39">
        <f t="shared" ca="1" si="57"/>
        <v>42493</v>
      </c>
      <c r="E413" s="55">
        <f>COUNTIFS(A:A,表1[[#This Row],[时间]],B:B,表1[[#This Row],[项目]])</f>
        <v>0</v>
      </c>
      <c r="H413" s="65" t="s">
        <v>271</v>
      </c>
      <c r="I413" s="64">
        <v>16</v>
      </c>
      <c r="J413" s="64">
        <v>16</v>
      </c>
    </row>
    <row r="414" spans="1:10" x14ac:dyDescent="0.2">
      <c r="B414" t="s">
        <v>209</v>
      </c>
      <c r="C414" s="64">
        <v>14</v>
      </c>
      <c r="D414" s="39">
        <f t="shared" ca="1" si="57"/>
        <v>42493</v>
      </c>
      <c r="E414" s="55">
        <f>COUNTIFS(A:A,表1[[#This Row],[时间]],B:B,表1[[#This Row],[项目]])</f>
        <v>0</v>
      </c>
      <c r="H414" s="65" t="s">
        <v>247</v>
      </c>
      <c r="I414" s="64">
        <v>543</v>
      </c>
      <c r="J414" s="64">
        <v>543</v>
      </c>
    </row>
    <row r="415" spans="1:10" x14ac:dyDescent="0.2">
      <c r="B415" t="s">
        <v>211</v>
      </c>
      <c r="C415" s="64">
        <v>20</v>
      </c>
      <c r="D415" s="39">
        <f t="shared" ca="1" si="57"/>
        <v>42493</v>
      </c>
      <c r="E415" s="55">
        <f>COUNTIFS(A:A,表1[[#This Row],[时间]],B:B,表1[[#This Row],[项目]])</f>
        <v>0</v>
      </c>
      <c r="H415" s="65" t="s">
        <v>139</v>
      </c>
      <c r="I415" s="64">
        <v>685</v>
      </c>
      <c r="J415" s="64">
        <v>685</v>
      </c>
    </row>
    <row r="416" spans="1:10" x14ac:dyDescent="0.2">
      <c r="B416" t="s">
        <v>213</v>
      </c>
      <c r="C416" s="64">
        <v>20</v>
      </c>
      <c r="D416" s="39">
        <f t="shared" ca="1" si="57"/>
        <v>42493</v>
      </c>
      <c r="E416" s="55">
        <f>COUNTIFS(A:A,表1[[#This Row],[时间]],B:B,表1[[#This Row],[项目]])</f>
        <v>0</v>
      </c>
    </row>
    <row r="417" spans="2:5" x14ac:dyDescent="0.2">
      <c r="B417" t="s">
        <v>131</v>
      </c>
      <c r="C417" s="64">
        <v>20</v>
      </c>
      <c r="D417" s="39">
        <f ca="1">TODAY()-ROUNDDOWN(A417,0)</f>
        <v>42493</v>
      </c>
      <c r="E417" s="55">
        <f>COUNTIFS(A:A,表1[[#This Row],[时间]],B:B,表1[[#This Row],[项目]])</f>
        <v>0</v>
      </c>
    </row>
    <row r="418" spans="2:5" x14ac:dyDescent="0.2">
      <c r="B418" t="s">
        <v>271</v>
      </c>
      <c r="C418" s="64">
        <v>14</v>
      </c>
      <c r="D418" s="39">
        <f t="shared" ref="D418:D419" ca="1" si="58">TODAY()-ROUNDDOWN(A418,0)</f>
        <v>42493</v>
      </c>
      <c r="E418" s="55">
        <f>COUNTIFS(A:A,表1[[#This Row],[时间]],B:B,表1[[#This Row],[项目]])</f>
        <v>0</v>
      </c>
    </row>
    <row r="419" spans="2:5" x14ac:dyDescent="0.2">
      <c r="B419" t="s">
        <v>272</v>
      </c>
      <c r="C419" s="64">
        <v>14</v>
      </c>
      <c r="D419" s="39">
        <f t="shared" ca="1" si="58"/>
        <v>42493</v>
      </c>
      <c r="E419" s="55">
        <f>COUNTIFS(A:A,表1[[#This Row],[时间]],B:B,表1[[#This Row],[项目]])</f>
        <v>0</v>
      </c>
    </row>
    <row r="420" spans="2:5" x14ac:dyDescent="0.2">
      <c r="B420" t="s">
        <v>244</v>
      </c>
      <c r="C420" s="64">
        <v>14</v>
      </c>
      <c r="D420" s="39">
        <f ca="1">TODAY()-ROUNDDOWN(A420,0)</f>
        <v>42493</v>
      </c>
      <c r="E420" s="55">
        <f>COUNTIFS(A:A,表1[[#This Row],[时间]],B:B,表1[[#This Row],[项目]])</f>
        <v>0</v>
      </c>
    </row>
    <row r="421" spans="2:5" x14ac:dyDescent="0.2">
      <c r="B421" t="s">
        <v>198</v>
      </c>
      <c r="C421" s="64">
        <v>20</v>
      </c>
      <c r="D421" s="39">
        <f ca="1">TODAY()-ROUNDDOWN(A421,0)</f>
        <v>42493</v>
      </c>
      <c r="E421" s="55">
        <f>COUNTIFS(A:A,表1[[#This Row],[时间]],B:B,表1[[#This Row],[项目]])</f>
        <v>0</v>
      </c>
    </row>
    <row r="422" spans="2:5" x14ac:dyDescent="0.2">
      <c r="B422" t="s">
        <v>273</v>
      </c>
      <c r="C422" s="64">
        <v>20</v>
      </c>
      <c r="D422" s="39">
        <f ca="1">TODAY()-ROUNDDOWN(A422,0)</f>
        <v>42493</v>
      </c>
      <c r="E422" s="55">
        <f>COUNTIFS(A:A,表1[[#This Row],[时间]],B:B,表1[[#This Row],[项目]])</f>
        <v>0</v>
      </c>
    </row>
    <row r="423" spans="2:5" x14ac:dyDescent="0.2">
      <c r="B423" t="s">
        <v>205</v>
      </c>
      <c r="C423" s="64">
        <v>22</v>
      </c>
      <c r="D423" s="39">
        <f t="shared" ref="D423:D433" ca="1" si="59">TODAY()-ROUNDDOWN(A423,0)</f>
        <v>42493</v>
      </c>
      <c r="E423" s="55">
        <f>COUNTIFS(A:A,表1[[#This Row],[时间]],B:B,表1[[#This Row],[项目]])</f>
        <v>0</v>
      </c>
    </row>
    <row r="424" spans="2:5" x14ac:dyDescent="0.2">
      <c r="B424" t="s">
        <v>184</v>
      </c>
      <c r="C424" s="64"/>
      <c r="D424" s="39">
        <f t="shared" ca="1" si="59"/>
        <v>42493</v>
      </c>
      <c r="E424" s="55">
        <f>COUNTIFS(A:A,表1[[#This Row],[时间]],B:B,表1[[#This Row],[项目]])</f>
        <v>0</v>
      </c>
    </row>
    <row r="425" spans="2:5" x14ac:dyDescent="0.2">
      <c r="B425" t="s">
        <v>209</v>
      </c>
      <c r="C425" s="64">
        <v>14</v>
      </c>
      <c r="D425" s="39">
        <f t="shared" ca="1" si="59"/>
        <v>42493</v>
      </c>
      <c r="E425" s="55">
        <f>COUNTIFS(A:A,表1[[#This Row],[时间]],B:B,表1[[#This Row],[项目]])</f>
        <v>0</v>
      </c>
    </row>
    <row r="426" spans="2:5" x14ac:dyDescent="0.2">
      <c r="B426" t="s">
        <v>211</v>
      </c>
      <c r="C426" s="64"/>
      <c r="D426" s="39">
        <f t="shared" ca="1" si="59"/>
        <v>42493</v>
      </c>
      <c r="E426" s="55">
        <f>COUNTIFS(A:A,表1[[#This Row],[时间]],B:B,表1[[#This Row],[项目]])</f>
        <v>0</v>
      </c>
    </row>
    <row r="427" spans="2:5" x14ac:dyDescent="0.2">
      <c r="B427" t="s">
        <v>213</v>
      </c>
      <c r="C427" s="64"/>
      <c r="D427" s="39">
        <f t="shared" ca="1" si="59"/>
        <v>42493</v>
      </c>
      <c r="E427" s="55">
        <f>COUNTIFS(A:A,表1[[#This Row],[时间]],B:B,表1[[#This Row],[项目]])</f>
        <v>0</v>
      </c>
    </row>
    <row r="428" spans="2:5" x14ac:dyDescent="0.2">
      <c r="B428" t="s">
        <v>131</v>
      </c>
      <c r="C428" s="64">
        <v>20</v>
      </c>
      <c r="D428" s="39">
        <f t="shared" ca="1" si="59"/>
        <v>42493</v>
      </c>
      <c r="E428" s="55">
        <f>COUNTIFS(A:A,表1[[#This Row],[时间]],B:B,表1[[#This Row],[项目]])</f>
        <v>0</v>
      </c>
    </row>
    <row r="429" spans="2:5" x14ac:dyDescent="0.2">
      <c r="B429" t="s">
        <v>271</v>
      </c>
      <c r="C429" s="64"/>
      <c r="D429" s="39">
        <f t="shared" ca="1" si="59"/>
        <v>42493</v>
      </c>
      <c r="E429" s="55">
        <f>COUNTIFS(A:A,表1[[#This Row],[时间]],B:B,表1[[#This Row],[项目]])</f>
        <v>0</v>
      </c>
    </row>
    <row r="430" spans="2:5" x14ac:dyDescent="0.2">
      <c r="B430" t="s">
        <v>272</v>
      </c>
      <c r="C430" s="64">
        <v>14</v>
      </c>
      <c r="D430" s="39">
        <f t="shared" ca="1" si="59"/>
        <v>42493</v>
      </c>
      <c r="E430" s="55">
        <f>COUNTIFS(A:A,表1[[#This Row],[时间]],B:B,表1[[#This Row],[项目]])</f>
        <v>0</v>
      </c>
    </row>
    <row r="431" spans="2:5" x14ac:dyDescent="0.2">
      <c r="B431" t="s">
        <v>244</v>
      </c>
      <c r="C431" s="64"/>
      <c r="D431" s="39">
        <f t="shared" ca="1" si="59"/>
        <v>42493</v>
      </c>
      <c r="E431" s="55">
        <f>COUNTIFS(A:A,表1[[#This Row],[时间]],B:B,表1[[#This Row],[项目]])</f>
        <v>0</v>
      </c>
    </row>
    <row r="432" spans="2:5" x14ac:dyDescent="0.2">
      <c r="B432" t="s">
        <v>198</v>
      </c>
      <c r="C432" s="64"/>
      <c r="D432" s="39">
        <f t="shared" ca="1" si="59"/>
        <v>42493</v>
      </c>
      <c r="E432" s="55">
        <f>COUNTIFS(A:A,表1[[#This Row],[时间]],B:B,表1[[#This Row],[项目]])</f>
        <v>0</v>
      </c>
    </row>
    <row r="433" spans="2:5" x14ac:dyDescent="0.2">
      <c r="B433" t="s">
        <v>273</v>
      </c>
      <c r="C433" s="64">
        <v>14</v>
      </c>
      <c r="D433" s="39">
        <f t="shared" ca="1" si="59"/>
        <v>42493</v>
      </c>
      <c r="E433" s="55">
        <f>COUNTIFS(A:A,表1[[#This Row],[时间]],B:B,表1[[#This Row],[项目]])</f>
        <v>0</v>
      </c>
    </row>
  </sheetData>
  <phoneticPr fontId="10" type="noConversion"/>
  <conditionalFormatting sqref="A1:F412 A413 C413:F413 A414:F420 A423:F1048576 C421:F422 A421:A422">
    <cfRule type="expression" dxfId="1" priority="1">
      <formula>$D1=0</formula>
    </cfRule>
  </conditionalFormatting>
  <conditionalFormatting sqref="B413">
    <cfRule type="expression" dxfId="0" priority="23">
      <formula>$D421=0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B1:B420 B423:B1048576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40"/>
  <sheetViews>
    <sheetView topLeftCell="A11" workbookViewId="0">
      <selection activeCell="B11" sqref="B11"/>
    </sheetView>
  </sheetViews>
  <sheetFormatPr defaultRowHeight="14.25" x14ac:dyDescent="0.2"/>
  <cols>
    <col min="1" max="1" width="21.375" bestFit="1" customWidth="1"/>
    <col min="2" max="2" width="49.125" bestFit="1" customWidth="1"/>
  </cols>
  <sheetData>
    <row r="1" spans="1:2" ht="16.5" x14ac:dyDescent="0.2">
      <c r="A1" s="3" t="s">
        <v>265</v>
      </c>
      <c r="B1" s="3" t="s">
        <v>266</v>
      </c>
    </row>
    <row r="2" spans="1:2" ht="16.5" x14ac:dyDescent="0.2">
      <c r="A2" s="3" t="s">
        <v>9</v>
      </c>
      <c r="B2" s="3" t="s">
        <v>251</v>
      </c>
    </row>
    <row r="3" spans="1:2" ht="16.5" x14ac:dyDescent="0.2">
      <c r="A3" s="3" t="s">
        <v>9</v>
      </c>
      <c r="B3" s="3" t="s">
        <v>31</v>
      </c>
    </row>
    <row r="4" spans="1:2" ht="16.5" x14ac:dyDescent="0.2">
      <c r="A4" s="3" t="s">
        <v>9</v>
      </c>
      <c r="B4" s="3" t="s">
        <v>149</v>
      </c>
    </row>
    <row r="5" spans="1:2" ht="16.5" x14ac:dyDescent="0.2">
      <c r="A5" s="3" t="s">
        <v>9</v>
      </c>
      <c r="B5" s="3" t="s">
        <v>252</v>
      </c>
    </row>
    <row r="6" spans="1:2" ht="16.5" x14ac:dyDescent="0.2">
      <c r="A6" s="3" t="s">
        <v>253</v>
      </c>
      <c r="B6" s="3" t="s">
        <v>254</v>
      </c>
    </row>
    <row r="7" spans="1:2" ht="16.5" x14ac:dyDescent="0.2">
      <c r="A7" s="3" t="s">
        <v>9</v>
      </c>
      <c r="B7" s="3" t="s">
        <v>258</v>
      </c>
    </row>
    <row r="8" spans="1:2" ht="16.5" x14ac:dyDescent="0.2">
      <c r="A8" s="3" t="s">
        <v>256</v>
      </c>
      <c r="B8" s="3" t="s">
        <v>257</v>
      </c>
    </row>
    <row r="9" spans="1:2" ht="16.5" x14ac:dyDescent="0.2">
      <c r="A9" s="3"/>
      <c r="B9" s="3"/>
    </row>
    <row r="10" spans="1:2" ht="16.5" x14ac:dyDescent="0.2">
      <c r="A10" s="3"/>
      <c r="B10" s="3"/>
    </row>
    <row r="11" spans="1:2" ht="16.5" x14ac:dyDescent="0.2">
      <c r="A11" s="3"/>
      <c r="B11" s="3"/>
    </row>
    <row r="12" spans="1:2" ht="16.5" x14ac:dyDescent="0.2">
      <c r="A12" s="3"/>
      <c r="B12" s="3"/>
    </row>
    <row r="13" spans="1:2" ht="16.5" x14ac:dyDescent="0.2">
      <c r="A13" s="3" t="s">
        <v>255</v>
      </c>
      <c r="B13" s="3" t="s">
        <v>136</v>
      </c>
    </row>
    <row r="14" spans="1:2" ht="16.5" x14ac:dyDescent="0.2">
      <c r="A14" s="3"/>
      <c r="B14" s="3"/>
    </row>
    <row r="15" spans="1:2" ht="16.5" x14ac:dyDescent="0.2">
      <c r="A15" s="3"/>
      <c r="B15" s="3"/>
    </row>
    <row r="16" spans="1:2" ht="16.5" x14ac:dyDescent="0.2">
      <c r="A16" s="3" t="s">
        <v>259</v>
      </c>
      <c r="B16" s="3" t="s">
        <v>82</v>
      </c>
    </row>
    <row r="17" spans="1:2" ht="16.5" x14ac:dyDescent="0.2">
      <c r="A17" s="3" t="s">
        <v>253</v>
      </c>
      <c r="B17" s="3" t="s">
        <v>111</v>
      </c>
    </row>
    <row r="18" spans="1:2" ht="16.5" x14ac:dyDescent="0.2">
      <c r="A18" s="3" t="s">
        <v>9</v>
      </c>
      <c r="B18" s="3" t="s">
        <v>14</v>
      </c>
    </row>
    <row r="19" spans="1:2" ht="16.5" x14ac:dyDescent="0.2">
      <c r="A19" s="3" t="s">
        <v>260</v>
      </c>
      <c r="B19" s="3" t="s">
        <v>12</v>
      </c>
    </row>
    <row r="20" spans="1:2" ht="16.5" x14ac:dyDescent="0.2">
      <c r="A20" s="3" t="s">
        <v>261</v>
      </c>
      <c r="B20" s="3" t="s">
        <v>98</v>
      </c>
    </row>
    <row r="21" spans="1:2" ht="16.5" x14ac:dyDescent="0.2">
      <c r="A21" s="3" t="s">
        <v>260</v>
      </c>
      <c r="B21" s="3" t="s">
        <v>34</v>
      </c>
    </row>
    <row r="22" spans="1:2" ht="16.5" x14ac:dyDescent="0.2">
      <c r="A22" s="3" t="s">
        <v>261</v>
      </c>
      <c r="B22" s="3" t="s">
        <v>103</v>
      </c>
    </row>
    <row r="23" spans="1:2" ht="16.5" x14ac:dyDescent="0.2">
      <c r="A23" s="3" t="s">
        <v>9</v>
      </c>
      <c r="B23" s="3" t="s">
        <v>165</v>
      </c>
    </row>
    <row r="24" spans="1:2" ht="16.5" x14ac:dyDescent="0.2">
      <c r="A24" s="3" t="s">
        <v>9</v>
      </c>
      <c r="B24" s="3" t="s">
        <v>22</v>
      </c>
    </row>
    <row r="25" spans="1:2" ht="16.5" x14ac:dyDescent="0.2">
      <c r="A25" s="3" t="s">
        <v>9</v>
      </c>
      <c r="B25" s="3" t="s">
        <v>79</v>
      </c>
    </row>
    <row r="26" spans="1:2" ht="16.5" x14ac:dyDescent="0.2">
      <c r="A26" s="3" t="s">
        <v>9</v>
      </c>
      <c r="B26" s="3" t="s">
        <v>23</v>
      </c>
    </row>
    <row r="27" spans="1:2" ht="16.5" x14ac:dyDescent="0.2">
      <c r="A27" s="3" t="s">
        <v>261</v>
      </c>
      <c r="B27" s="3" t="s">
        <v>262</v>
      </c>
    </row>
    <row r="28" spans="1:2" ht="16.5" x14ac:dyDescent="0.2">
      <c r="A28" s="3" t="s">
        <v>261</v>
      </c>
      <c r="B28" s="3" t="s">
        <v>263</v>
      </c>
    </row>
    <row r="29" spans="1:2" ht="16.5" x14ac:dyDescent="0.2">
      <c r="A29" s="3" t="s">
        <v>9</v>
      </c>
      <c r="B29" s="3" t="s">
        <v>13</v>
      </c>
    </row>
    <row r="30" spans="1:2" ht="16.5" x14ac:dyDescent="0.2">
      <c r="A30" s="3" t="s">
        <v>11</v>
      </c>
      <c r="B30" s="3" t="s">
        <v>24</v>
      </c>
    </row>
    <row r="31" spans="1:2" ht="16.5" x14ac:dyDescent="0.2">
      <c r="A31" s="3" t="s">
        <v>15</v>
      </c>
      <c r="B31" s="3" t="s">
        <v>15</v>
      </c>
    </row>
    <row r="32" spans="1:2" ht="16.5" x14ac:dyDescent="0.2">
      <c r="A32" s="3" t="s">
        <v>15</v>
      </c>
      <c r="B32" s="3" t="s">
        <v>25</v>
      </c>
    </row>
    <row r="33" spans="1:2" ht="16.5" x14ac:dyDescent="0.2">
      <c r="A33" s="3" t="s">
        <v>15</v>
      </c>
      <c r="B33" s="3" t="s">
        <v>26</v>
      </c>
    </row>
    <row r="34" spans="1:2" ht="16.5" x14ac:dyDescent="0.2">
      <c r="A34" s="3" t="s">
        <v>16</v>
      </c>
      <c r="B34" s="3" t="s">
        <v>17</v>
      </c>
    </row>
    <row r="35" spans="1:2" ht="16.5" x14ac:dyDescent="0.2">
      <c r="A35" s="3" t="s">
        <v>16</v>
      </c>
      <c r="B35" s="3" t="s">
        <v>18</v>
      </c>
    </row>
    <row r="36" spans="1:2" ht="16.5" x14ac:dyDescent="0.2">
      <c r="A36" s="3" t="s">
        <v>9</v>
      </c>
      <c r="B36" s="3" t="s">
        <v>19</v>
      </c>
    </row>
    <row r="37" spans="1:2" ht="16.5" x14ac:dyDescent="0.2">
      <c r="A37" s="3" t="s">
        <v>15</v>
      </c>
      <c r="B37" s="3" t="s">
        <v>27</v>
      </c>
    </row>
    <row r="38" spans="1:2" ht="16.5" x14ac:dyDescent="0.2">
      <c r="A38" s="3" t="s">
        <v>16</v>
      </c>
      <c r="B38" s="3" t="s">
        <v>28</v>
      </c>
    </row>
    <row r="39" spans="1:2" ht="16.5" x14ac:dyDescent="0.2">
      <c r="A39" s="3" t="s">
        <v>264</v>
      </c>
      <c r="B39" s="3" t="s">
        <v>21</v>
      </c>
    </row>
    <row r="40" spans="1:2" ht="16.5" x14ac:dyDescent="0.2">
      <c r="A40" s="3" t="s">
        <v>9</v>
      </c>
      <c r="B40" s="3" t="s">
        <v>225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</vt:lpstr>
      <vt:lpstr>学习总体</vt:lpstr>
      <vt:lpstr>学习记录</vt:lpstr>
      <vt:lpstr>运动</vt:lpstr>
      <vt:lpstr>运动记录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2016-05-03T15:15:00Z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