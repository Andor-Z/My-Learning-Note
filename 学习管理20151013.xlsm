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D:\GitHub\Python-note\"/>
    </mc:Choice>
  </mc:AlternateContent>
  <bookViews>
    <workbookView xWindow="0" yWindow="0" windowWidth="20910" windowHeight="9930" activeTab="3"/>
  </bookViews>
  <sheets>
    <sheet name="项目" sheetId="1" r:id="rId1"/>
    <sheet name="运动" sheetId="4" r:id="rId2"/>
    <sheet name="学习总体" sheetId="2" r:id="rId3"/>
    <sheet name="学习记录" sheetId="3" r:id="rId4"/>
    <sheet name="运动记录" sheetId="5" r:id="rId5"/>
  </sheets>
  <definedNames>
    <definedName name="_xlnm._FilterDatabase" localSheetId="2" hidden="1">学习总体!$A$1:$E$33</definedName>
    <definedName name="data">OFFSET(学习记录!$A$1,0,0,COUNTA(学习记录!$A:$A),COUNTA(学习记录!$1:$1))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运动">OFFSET(运动记录!$A$1,0,0,COUNTA(运动记录!$A:$A),COUNTA(运动记录!$1:$1))</definedName>
  </definedNames>
  <calcPr calcId="162913"/>
  <pivotCaches>
    <pivotCache cacheId="5" r:id="rId6"/>
    <pivotCache cacheId="13" r:id="rId7"/>
  </pivotCaches>
</workbook>
</file>

<file path=xl/calcChain.xml><?xml version="1.0" encoding="utf-8"?>
<calcChain xmlns="http://schemas.openxmlformats.org/spreadsheetml/2006/main">
  <c r="C59" i="3" l="1"/>
  <c r="C58" i="3"/>
  <c r="C16" i="5" l="1"/>
  <c r="C57" i="3" l="1"/>
  <c r="C56" i="3" l="1"/>
  <c r="C55" i="3" l="1"/>
  <c r="E4" i="2"/>
  <c r="C15" i="5" l="1"/>
  <c r="C13" i="5"/>
  <c r="C14" i="5"/>
  <c r="C12" i="5"/>
  <c r="C11" i="5" l="1"/>
  <c r="C10" i="5" l="1"/>
  <c r="C54" i="3" l="1"/>
  <c r="C53" i="3" l="1"/>
  <c r="H70" i="3"/>
  <c r="C52" i="3" l="1"/>
  <c r="C51" i="3" l="1"/>
  <c r="C50" i="3"/>
  <c r="C49" i="3" l="1"/>
  <c r="C3" i="5" l="1"/>
  <c r="C4" i="5"/>
  <c r="C5" i="5"/>
  <c r="C6" i="5"/>
  <c r="C7" i="5"/>
  <c r="C8" i="5"/>
  <c r="C9" i="5"/>
  <c r="C2" i="5"/>
  <c r="C48" i="3"/>
  <c r="C47" i="3" l="1"/>
  <c r="C46" i="3" l="1"/>
  <c r="E3" i="2"/>
  <c r="E12" i="2" l="1"/>
  <c r="C45" i="3" l="1"/>
  <c r="C44" i="3" l="1"/>
  <c r="C43" i="3" l="1"/>
  <c r="C42" i="3" l="1"/>
  <c r="E11" i="2" l="1"/>
  <c r="C41" i="3" l="1"/>
  <c r="G11" i="2" l="1"/>
  <c r="C40" i="3"/>
  <c r="C39" i="3" l="1"/>
  <c r="C38" i="3" l="1"/>
  <c r="C37" i="3" l="1"/>
  <c r="E8" i="2"/>
  <c r="C36" i="3" l="1"/>
  <c r="C35" i="3" l="1"/>
  <c r="C34" i="3" l="1"/>
  <c r="C33" i="3" l="1"/>
  <c r="C32" i="3" l="1"/>
  <c r="C31" i="3" l="1"/>
  <c r="C30" i="3" l="1"/>
  <c r="C29" i="3"/>
  <c r="C28" i="3" l="1"/>
  <c r="C27" i="3" l="1"/>
  <c r="C26" i="3" l="1"/>
  <c r="C25" i="3" l="1"/>
  <c r="C24" i="3"/>
  <c r="C23" i="3" l="1"/>
  <c r="E9" i="2" l="1"/>
  <c r="E16" i="2"/>
  <c r="E17" i="2" l="1"/>
  <c r="C22" i="3"/>
  <c r="D22" i="3"/>
  <c r="C21" i="3" l="1"/>
  <c r="C20" i="3" l="1"/>
  <c r="C19" i="3" l="1"/>
  <c r="C18" i="3" l="1"/>
  <c r="C17" i="3" l="1"/>
  <c r="C16" i="3" l="1"/>
  <c r="E18" i="2" l="1"/>
  <c r="C15" i="3"/>
  <c r="E6" i="2"/>
  <c r="D14" i="3" l="1"/>
  <c r="C14" i="3"/>
  <c r="C13" i="3" l="1"/>
  <c r="J3" i="1" l="1"/>
  <c r="K3" i="1"/>
  <c r="I3" i="1"/>
  <c r="G3" i="1"/>
  <c r="H3" i="1"/>
  <c r="E14" i="2" l="1"/>
  <c r="C12" i="3" l="1"/>
  <c r="C11" i="3" l="1"/>
  <c r="C10" i="3"/>
  <c r="C9" i="3" l="1"/>
  <c r="C8" i="3" l="1"/>
  <c r="C7" i="3" l="1"/>
  <c r="C6" i="3"/>
  <c r="C5" i="3"/>
  <c r="D5" i="3"/>
  <c r="E32" i="2" s="1"/>
  <c r="C4" i="3"/>
  <c r="D4" i="3"/>
  <c r="C3" i="3"/>
  <c r="C2" i="3"/>
  <c r="E31" i="2"/>
  <c r="E30" i="2"/>
  <c r="E25" i="2"/>
  <c r="E24" i="2"/>
  <c r="E7" i="2"/>
  <c r="G7" i="2" s="1"/>
  <c r="E22" i="2"/>
  <c r="E29" i="2"/>
  <c r="E15" i="2"/>
  <c r="E21" i="2"/>
  <c r="E28" i="2"/>
  <c r="E27" i="2"/>
  <c r="E26" i="2"/>
  <c r="E23" i="2"/>
  <c r="E20" i="2"/>
  <c r="E2" i="2"/>
  <c r="E19" i="2"/>
  <c r="E5" i="2"/>
  <c r="G5" i="2" s="1"/>
  <c r="E10" i="2"/>
  <c r="E13" i="2"/>
  <c r="E33" i="2"/>
  <c r="G33" i="2" s="1"/>
  <c r="G70" i="3" l="1"/>
</calcChain>
</file>

<file path=xl/comments1.xml><?xml version="1.0" encoding="utf-8"?>
<comments xmlns="http://schemas.openxmlformats.org/spreadsheetml/2006/main">
  <authors>
    <author>ZYF</author>
  </authors>
  <commentList>
    <comment ref="C32" authorId="0" shapeId="0">
      <text>
        <r>
          <rPr>
            <b/>
            <sz val="9"/>
            <color indexed="81"/>
            <rFont val="宋体"/>
            <family val="3"/>
            <charset val="134"/>
          </rPr>
          <t>ZYF:</t>
        </r>
        <r>
          <rPr>
            <sz val="9"/>
            <color indexed="81"/>
            <rFont val="宋体"/>
            <family val="3"/>
            <charset val="134"/>
          </rPr>
          <t xml:space="preserve">
传统课程，太傻X了。
</t>
        </r>
      </text>
    </comment>
  </commentList>
</comments>
</file>

<file path=xl/sharedStrings.xml><?xml version="1.0" encoding="utf-8"?>
<sst xmlns="http://schemas.openxmlformats.org/spreadsheetml/2006/main" count="270" uniqueCount="163">
  <si>
    <t>距离今天</t>
  </si>
  <si>
    <t>开始时间</t>
  </si>
  <si>
    <t>结束时间</t>
  </si>
  <si>
    <t>时长</t>
  </si>
  <si>
    <t>学习分类</t>
  </si>
  <si>
    <t>学习内容</t>
  </si>
  <si>
    <t>状态</t>
  </si>
  <si>
    <t>Excel</t>
  </si>
  <si>
    <t>王佩丰Excel</t>
  </si>
  <si>
    <t>Python</t>
  </si>
  <si>
    <r>
      <rPr>
        <sz val="11"/>
        <color indexed="8"/>
        <rFont val="微软雅黑"/>
        <family val="2"/>
        <charset val="134"/>
      </rPr>
      <t>集体智慧编程(</t>
    </r>
    <r>
      <rPr>
        <sz val="11"/>
        <color indexed="8"/>
        <rFont val="微软雅黑"/>
        <family val="2"/>
        <charset val="134"/>
      </rPr>
      <t>Programming Collective Intelligence)</t>
    </r>
  </si>
  <si>
    <t>高等数学</t>
  </si>
  <si>
    <t>曼昆-经济学原理（微观分册）</t>
  </si>
  <si>
    <t>python3.4tutorial</t>
  </si>
  <si>
    <t>Python 3.0教程-廖雪峰</t>
  </si>
  <si>
    <t>利用Python进行数据分析</t>
  </si>
  <si>
    <t>微观经济学：现代观点</t>
  </si>
  <si>
    <t>线性代数</t>
  </si>
  <si>
    <t>网易公开课-MIT</t>
  </si>
  <si>
    <t>课本</t>
  </si>
  <si>
    <t>MITx: 6.00.1x 计算机科学和Python编程导论</t>
  </si>
  <si>
    <r>
      <rPr>
        <sz val="11"/>
        <color indexed="8"/>
        <rFont val="微软雅黑"/>
        <family val="2"/>
        <charset val="134"/>
      </rPr>
      <t>V</t>
    </r>
    <r>
      <rPr>
        <sz val="11"/>
        <color indexed="8"/>
        <rFont val="微软雅黑"/>
        <family val="2"/>
        <charset val="134"/>
      </rPr>
      <t>B.NET</t>
    </r>
  </si>
  <si>
    <t>VB.NET程序入门-中国大学MOOC</t>
  </si>
  <si>
    <t>Think Python</t>
  </si>
  <si>
    <t>An Introduction to Interactive Programming in Python</t>
  </si>
  <si>
    <t>Python学习手册</t>
  </si>
  <si>
    <t>高等数学（一）中国大学MOOC</t>
  </si>
  <si>
    <t>圣才视频</t>
  </si>
  <si>
    <t>圣才笔记</t>
  </si>
  <si>
    <t>圣才考研真题</t>
  </si>
  <si>
    <t>网易公开课-可汗学院</t>
  </si>
  <si>
    <t>日期</t>
  </si>
  <si>
    <t>科目</t>
  </si>
  <si>
    <t>集体智慧编程(Programming Collective Intelligence)</t>
  </si>
  <si>
    <t>微观经济学-中国大学MOOC</t>
    <phoneticPr fontId="4" type="noConversion"/>
  </si>
  <si>
    <t>学习时长</t>
    <phoneticPr fontId="4" type="noConversion"/>
  </si>
  <si>
    <t>微观经济学-中国大学MOOC</t>
  </si>
  <si>
    <t>Python</t>
    <phoneticPr fontId="4" type="noConversion"/>
  </si>
  <si>
    <t>Python Cookbook</t>
    <phoneticPr fontId="4" type="noConversion"/>
  </si>
  <si>
    <t>15考研</t>
    <phoneticPr fontId="4" type="noConversion"/>
  </si>
  <si>
    <t>16春节</t>
    <phoneticPr fontId="4" type="noConversion"/>
  </si>
  <si>
    <t>python</t>
    <phoneticPr fontId="4" type="noConversion"/>
  </si>
  <si>
    <t>高等数学</t>
    <phoneticPr fontId="4" type="noConversion"/>
  </si>
  <si>
    <t>编号</t>
    <phoneticPr fontId="4" type="noConversion"/>
  </si>
  <si>
    <t>EX001</t>
    <phoneticPr fontId="4" type="noConversion"/>
  </si>
  <si>
    <t>PY001</t>
    <phoneticPr fontId="4" type="noConversion"/>
  </si>
  <si>
    <t>PY002</t>
  </si>
  <si>
    <t>PY003</t>
  </si>
  <si>
    <t>PY004</t>
  </si>
  <si>
    <t>PY005</t>
  </si>
  <si>
    <t>PY006</t>
  </si>
  <si>
    <t>PY007</t>
  </si>
  <si>
    <t>PY008</t>
  </si>
  <si>
    <t>PY009</t>
  </si>
  <si>
    <t>Python基础</t>
    <phoneticPr fontId="4" type="noConversion"/>
  </si>
  <si>
    <t>数学</t>
    <phoneticPr fontId="4" type="noConversion"/>
  </si>
  <si>
    <t>编程基础</t>
    <phoneticPr fontId="4" type="noConversion"/>
  </si>
  <si>
    <t>算法</t>
    <phoneticPr fontId="4" type="noConversion"/>
  </si>
  <si>
    <t>操作系统</t>
    <phoneticPr fontId="4" type="noConversion"/>
  </si>
  <si>
    <t>数据结构</t>
    <phoneticPr fontId="4" type="noConversion"/>
  </si>
  <si>
    <t>计算机组成原理</t>
    <phoneticPr fontId="4" type="noConversion"/>
  </si>
  <si>
    <t>计算机网络</t>
    <phoneticPr fontId="4" type="noConversion"/>
  </si>
  <si>
    <t>CS</t>
    <phoneticPr fontId="4" type="noConversion"/>
  </si>
  <si>
    <t>Graduate</t>
    <phoneticPr fontId="4" type="noConversion"/>
  </si>
  <si>
    <t>Python-Flask</t>
    <phoneticPr fontId="4" type="noConversion"/>
  </si>
  <si>
    <t>Python-算法</t>
    <phoneticPr fontId="4" type="noConversion"/>
  </si>
  <si>
    <t>高等数学</t>
    <phoneticPr fontId="4" type="noConversion"/>
  </si>
  <si>
    <t>线性代数</t>
    <phoneticPr fontId="4" type="noConversion"/>
  </si>
  <si>
    <t>概率论与数理统计</t>
    <phoneticPr fontId="4" type="noConversion"/>
  </si>
  <si>
    <t>英语</t>
    <phoneticPr fontId="4" type="noConversion"/>
  </si>
  <si>
    <t>微观经济学</t>
    <phoneticPr fontId="4" type="noConversion"/>
  </si>
  <si>
    <t>math001</t>
    <phoneticPr fontId="4" type="noConversion"/>
  </si>
  <si>
    <t>math002</t>
  </si>
  <si>
    <t>cs001</t>
    <phoneticPr fontId="4" type="noConversion"/>
  </si>
  <si>
    <t>ec001</t>
    <phoneticPr fontId="4" type="noConversion"/>
  </si>
  <si>
    <t>ec002</t>
  </si>
  <si>
    <t>ec003</t>
  </si>
  <si>
    <t>ec004</t>
  </si>
  <si>
    <t>ec005</t>
  </si>
  <si>
    <t>ec006</t>
  </si>
  <si>
    <t>mathx001</t>
    <phoneticPr fontId="4" type="noConversion"/>
  </si>
  <si>
    <t>mathx002</t>
  </si>
  <si>
    <t>mathx003</t>
  </si>
  <si>
    <t>Python Cookbook</t>
  </si>
  <si>
    <t>《数据结构》（C语言版）（严蔚敏 清华大学出版社）</t>
    <phoneticPr fontId="4" type="noConversion"/>
  </si>
  <si>
    <t>《计算机网络》（谢希仁 电子工业出版社）</t>
    <phoneticPr fontId="4" type="noConversion"/>
  </si>
  <si>
    <t>好快-意大利斜体</t>
  </si>
  <si>
    <t>好快-意大利斜体</t>
    <phoneticPr fontId="4" type="noConversion"/>
  </si>
  <si>
    <t>EHKYDL</t>
    <phoneticPr fontId="4" type="noConversion"/>
  </si>
  <si>
    <t>编程-C</t>
    <phoneticPr fontId="4" type="noConversion"/>
  </si>
  <si>
    <t>程序设计入门——C语言-中国大学MOOC</t>
    <phoneticPr fontId="4" type="noConversion"/>
  </si>
  <si>
    <t>路线</t>
    <phoneticPr fontId="4" type="noConversion"/>
  </si>
  <si>
    <t>Python</t>
    <phoneticPr fontId="4" type="noConversion"/>
  </si>
  <si>
    <t>Python基础</t>
    <phoneticPr fontId="4" type="noConversion"/>
  </si>
  <si>
    <t>廖雪峰</t>
    <phoneticPr fontId="4" type="noConversion"/>
  </si>
  <si>
    <t>tutorial</t>
    <phoneticPr fontId="4" type="noConversion"/>
  </si>
  <si>
    <t>Python爬虫</t>
    <phoneticPr fontId="4" type="noConversion"/>
  </si>
  <si>
    <t>Python Flask</t>
    <phoneticPr fontId="4" type="noConversion"/>
  </si>
  <si>
    <t>Python数据分析</t>
    <phoneticPr fontId="4" type="noConversion"/>
  </si>
  <si>
    <t>中国大学mooc</t>
    <phoneticPr fontId="4" type="noConversion"/>
  </si>
  <si>
    <t>预计课时</t>
    <phoneticPr fontId="4" type="noConversion"/>
  </si>
  <si>
    <t>完成百分比</t>
    <phoneticPr fontId="4" type="noConversion"/>
  </si>
  <si>
    <t>经济学-微观-初级</t>
    <phoneticPr fontId="4" type="noConversion"/>
  </si>
  <si>
    <t>math-advanced math</t>
    <phoneticPr fontId="4" type="noConversion"/>
  </si>
  <si>
    <t>高数基础精讲-张宇</t>
  </si>
  <si>
    <t>高数基础精讲-张宇</t>
    <phoneticPr fontId="4" type="noConversion"/>
  </si>
  <si>
    <t>Khan academy 微积分</t>
    <phoneticPr fontId="4" type="noConversion"/>
  </si>
  <si>
    <t>TsinghuaX: 10421075X 微积分B(1)（2015秋）</t>
    <phoneticPr fontId="4" type="noConversion"/>
  </si>
  <si>
    <t>高等数学（一）-中国大学MOOC</t>
    <phoneticPr fontId="4" type="noConversion"/>
  </si>
  <si>
    <t>高等数学（一）-中国大学MOOC</t>
  </si>
  <si>
    <t>Python 3.0教程-廖雪峰</t>
    <phoneticPr fontId="4" type="noConversion"/>
  </si>
  <si>
    <t>基础</t>
    <phoneticPr fontId="4" type="noConversion"/>
  </si>
  <si>
    <t>初级应用</t>
    <phoneticPr fontId="4" type="noConversion"/>
  </si>
  <si>
    <t>中级应用</t>
    <phoneticPr fontId="4" type="noConversion"/>
  </si>
  <si>
    <r>
      <t>初步了解m</t>
    </r>
    <r>
      <rPr>
        <sz val="11"/>
        <color indexed="8"/>
        <rFont val="等线"/>
        <family val="3"/>
        <charset val="134"/>
      </rPr>
      <t>athematica</t>
    </r>
    <phoneticPr fontId="4" type="noConversion"/>
  </si>
  <si>
    <t>字帖-英语</t>
    <phoneticPr fontId="4" type="noConversion"/>
  </si>
  <si>
    <t>English</t>
    <phoneticPr fontId="4" type="noConversion"/>
  </si>
  <si>
    <t>百词斩-考研核心词汇</t>
  </si>
  <si>
    <t>百词斩-考研核心词汇</t>
    <phoneticPr fontId="4" type="noConversion"/>
  </si>
  <si>
    <t>今日学习时长</t>
    <phoneticPr fontId="4" type="noConversion"/>
  </si>
  <si>
    <t>随机学习科目</t>
    <phoneticPr fontId="4" type="noConversion"/>
  </si>
  <si>
    <t>王佩丰Excel</t>
    <phoneticPr fontId="4" type="noConversion"/>
  </si>
  <si>
    <t>第24讲是宏表函数，觉得并没有什么用，没怎么看</t>
    <phoneticPr fontId="4" type="noConversion"/>
  </si>
  <si>
    <t>编程</t>
    <phoneticPr fontId="4" type="noConversion"/>
  </si>
  <si>
    <t>数学</t>
    <phoneticPr fontId="4" type="noConversion"/>
  </si>
  <si>
    <t>英语</t>
    <phoneticPr fontId="4" type="noConversion"/>
  </si>
  <si>
    <t xml:space="preserve">python </t>
    <phoneticPr fontId="4" type="noConversion"/>
  </si>
  <si>
    <t>C</t>
    <phoneticPr fontId="4" type="noConversion"/>
  </si>
  <si>
    <t>economic</t>
    <phoneticPr fontId="4" type="noConversion"/>
  </si>
  <si>
    <r>
      <t>E</t>
    </r>
    <r>
      <rPr>
        <sz val="11"/>
        <color indexed="8"/>
        <rFont val="微软雅黑"/>
        <family val="2"/>
        <charset val="134"/>
      </rPr>
      <t>xcel</t>
    </r>
    <phoneticPr fontId="4" type="noConversion"/>
  </si>
  <si>
    <t>[王佩丰]Excel2010数据透视表视频教程</t>
  </si>
  <si>
    <t>[王佩丰]Excel2010数据透视表视频教程</t>
    <phoneticPr fontId="4" type="noConversion"/>
  </si>
  <si>
    <t>《计算机组成原理（第2版）》（唐朔飞 高等教育出版社)</t>
    <phoneticPr fontId="4" type="noConversion"/>
  </si>
  <si>
    <t>《计算机操作系统》（汤子瀛 西安电子科技大学出版社） </t>
    <phoneticPr fontId="4" type="noConversion"/>
  </si>
  <si>
    <t>分类</t>
    <phoneticPr fontId="10" type="noConversion"/>
  </si>
  <si>
    <t>项目</t>
    <phoneticPr fontId="10" type="noConversion"/>
  </si>
  <si>
    <t>时间</t>
    <phoneticPr fontId="10" type="noConversion"/>
  </si>
  <si>
    <t>次数/时长</t>
    <phoneticPr fontId="10" type="noConversion"/>
  </si>
  <si>
    <t>仰卧起坐</t>
  </si>
  <si>
    <t>俯卧撑</t>
  </si>
  <si>
    <t>下蹲</t>
  </si>
  <si>
    <t>小腿上提</t>
  </si>
  <si>
    <t>平板支撑</t>
    <phoneticPr fontId="10" type="noConversion"/>
  </si>
  <si>
    <t>程序设计入门——C语言</t>
  </si>
  <si>
    <t>C</t>
    <phoneticPr fontId="4" type="noConversion"/>
  </si>
  <si>
    <t>行标签</t>
  </si>
  <si>
    <t>总计</t>
  </si>
  <si>
    <t>列标签</t>
  </si>
  <si>
    <t>求和项:次数/时长</t>
  </si>
  <si>
    <t>11月15日</t>
  </si>
  <si>
    <t>眼保健操</t>
    <phoneticPr fontId="10" type="noConversion"/>
  </si>
  <si>
    <t>级别</t>
    <phoneticPr fontId="10" type="noConversion"/>
  </si>
  <si>
    <t>距离今天</t>
    <phoneticPr fontId="10" type="noConversion"/>
  </si>
  <si>
    <t>Python语言程序设计--中国大学MOOC</t>
  </si>
  <si>
    <t>Python语言程序设计--中国大学MOOC</t>
    <phoneticPr fontId="4" type="noConversion"/>
  </si>
  <si>
    <t>备注</t>
    <phoneticPr fontId="4" type="noConversion"/>
  </si>
  <si>
    <t>求和项:时长</t>
  </si>
  <si>
    <t>11月17日</t>
  </si>
  <si>
    <t>Python</t>
    <phoneticPr fontId="4" type="noConversion"/>
  </si>
  <si>
    <t>Flask官方教程</t>
  </si>
  <si>
    <t>Flask官方教程</t>
    <phoneticPr fontId="4" type="noConversion"/>
  </si>
  <si>
    <t>眼保健操</t>
  </si>
  <si>
    <t>11月18日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</si>
</sst>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76" formatCode="h:mm;@"/>
    <numFmt numFmtId="177" formatCode="[$-F400]h:mm:ss\ AM/PM"/>
    <numFmt numFmtId="178" formatCode="0\ &quot;天&quot;"/>
    <numFmt numFmtId="179" formatCode="yyyy/mm/dd;@"/>
    <numFmt numFmtId="180" formatCode="[h]:mm"/>
    <numFmt numFmtId="181" formatCode="0_ "/>
  </numFmts>
  <fonts count="12" x14ac:knownFonts="1">
    <font>
      <sz val="11"/>
      <color indexed="8"/>
      <name val="等线"/>
      <charset val="134"/>
    </font>
    <font>
      <sz val="11"/>
      <color indexed="8"/>
      <name val="等线"/>
      <charset val="134"/>
    </font>
    <font>
      <sz val="11"/>
      <color indexed="8"/>
      <name val="微软雅黑"/>
      <family val="2"/>
      <charset val="134"/>
    </font>
    <font>
      <sz val="11"/>
      <color indexed="8"/>
      <name val="微软雅黑"/>
      <family val="2"/>
      <charset val="134"/>
    </font>
    <font>
      <sz val="9"/>
      <name val="等线"/>
      <charset val="134"/>
    </font>
    <font>
      <sz val="11"/>
      <color rgb="FFC00000"/>
      <name val="微软雅黑"/>
      <family val="2"/>
      <charset val="134"/>
    </font>
    <font>
      <u/>
      <sz val="11"/>
      <color theme="10"/>
      <name val="等线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indexed="8"/>
      <name val="等线"/>
      <family val="3"/>
      <charset val="134"/>
    </font>
    <font>
      <sz val="9"/>
      <name val="等线"/>
      <family val="3"/>
      <charset val="134"/>
    </font>
    <font>
      <sz val="11"/>
      <color rgb="FFFF3300"/>
      <name val="等线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177" fontId="0" fillId="0" borderId="0">
      <alignment vertical="center"/>
    </xf>
    <xf numFmtId="177" fontId="6" fillId="0" borderId="0" applyNumberForma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61">
    <xf numFmtId="177" fontId="0" fillId="0" borderId="0" xfId="0">
      <alignment vertical="center"/>
    </xf>
    <xf numFmtId="176" fontId="0" fillId="0" borderId="0" xfId="0" applyNumberFormat="1">
      <alignment vertical="center"/>
    </xf>
    <xf numFmtId="177" fontId="2" fillId="0" borderId="0" xfId="0" applyFont="1" applyAlignment="1">
      <alignment horizontal="left" vertical="center"/>
    </xf>
    <xf numFmtId="177" fontId="2" fillId="0" borderId="0" xfId="0" applyFont="1">
      <alignment vertical="center"/>
    </xf>
    <xf numFmtId="0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7" fontId="3" fillId="0" borderId="0" xfId="0" applyFont="1" applyAlignment="1">
      <alignment horizontal="left" vertical="center"/>
    </xf>
    <xf numFmtId="177" fontId="3" fillId="0" borderId="0" xfId="0" applyFont="1">
      <alignment vertical="center"/>
    </xf>
    <xf numFmtId="0" fontId="3" fillId="0" borderId="0" xfId="0" applyNumberFormat="1" applyFont="1">
      <alignment vertical="center"/>
    </xf>
    <xf numFmtId="177" fontId="2" fillId="0" borderId="0" xfId="0" applyNumberFormat="1" applyFont="1" applyAlignment="1">
      <alignment horizontal="center" vertical="center" wrapText="1"/>
    </xf>
    <xf numFmtId="177" fontId="2" fillId="0" borderId="0" xfId="0" applyFont="1" applyAlignment="1">
      <alignment horizontal="center" vertical="center" wrapText="1"/>
    </xf>
    <xf numFmtId="14" fontId="2" fillId="0" borderId="0" xfId="0" applyNumberFormat="1" applyFont="1" applyAlignment="1">
      <alignment horizontal="center" vertical="center" wrapText="1"/>
    </xf>
    <xf numFmtId="178" fontId="5" fillId="2" borderId="0" xfId="0" applyNumberFormat="1" applyFont="1" applyFill="1" applyAlignment="1">
      <alignment horizontal="center" vertical="center" wrapText="1"/>
    </xf>
    <xf numFmtId="178" fontId="2" fillId="0" borderId="0" xfId="0" applyNumberFormat="1" applyFont="1" applyAlignment="1">
      <alignment horizontal="center" vertical="center" wrapText="1"/>
    </xf>
    <xf numFmtId="177" fontId="2" fillId="0" borderId="1" xfId="0" applyNumberFormat="1" applyFont="1" applyBorder="1" applyAlignment="1">
      <alignment horizontal="center" vertical="center" wrapText="1"/>
    </xf>
    <xf numFmtId="177" fontId="2" fillId="0" borderId="2" xfId="0" applyFont="1" applyBorder="1" applyAlignment="1">
      <alignment horizontal="center" vertical="center" wrapText="1"/>
    </xf>
    <xf numFmtId="177" fontId="2" fillId="0" borderId="2" xfId="0" applyNumberFormat="1" applyFont="1" applyBorder="1" applyAlignment="1">
      <alignment horizontal="left" vertical="center" wrapText="1"/>
    </xf>
    <xf numFmtId="177" fontId="2" fillId="0" borderId="3" xfId="0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left" vertical="center" wrapText="1"/>
    </xf>
    <xf numFmtId="14" fontId="2" fillId="0" borderId="3" xfId="0" applyNumberFormat="1" applyFont="1" applyBorder="1" applyAlignment="1">
      <alignment horizontal="center" vertical="center" wrapText="1"/>
    </xf>
    <xf numFmtId="177" fontId="2" fillId="0" borderId="2" xfId="0" applyNumberFormat="1" applyFont="1" applyBorder="1" applyAlignment="1">
      <alignment horizontal="left" vertical="top" wrapText="1"/>
    </xf>
    <xf numFmtId="177" fontId="2" fillId="0" borderId="3" xfId="0" applyNumberFormat="1" applyFont="1" applyBorder="1" applyAlignment="1">
      <alignment horizontal="left" vertical="center" wrapText="1"/>
    </xf>
    <xf numFmtId="177" fontId="6" fillId="0" borderId="0" xfId="1">
      <alignment vertical="center"/>
    </xf>
    <xf numFmtId="179" fontId="0" fillId="0" borderId="0" xfId="0" applyNumberFormat="1">
      <alignment vertical="center"/>
    </xf>
    <xf numFmtId="177" fontId="2" fillId="0" borderId="4" xfId="0" applyNumberFormat="1" applyFont="1" applyBorder="1" applyAlignment="1">
      <alignment horizontal="center" vertical="center" wrapText="1"/>
    </xf>
    <xf numFmtId="177" fontId="2" fillId="0" borderId="5" xfId="0" applyFont="1" applyBorder="1" applyAlignment="1">
      <alignment horizontal="center" vertical="center" wrapText="1"/>
    </xf>
    <xf numFmtId="177" fontId="2" fillId="0" borderId="5" xfId="0" applyNumberFormat="1" applyFont="1" applyBorder="1" applyAlignment="1">
      <alignment horizontal="left" vertical="center" wrapText="1"/>
    </xf>
    <xf numFmtId="177" fontId="2" fillId="0" borderId="6" xfId="0" applyFont="1" applyBorder="1" applyAlignment="1">
      <alignment horizontal="center" vertical="center" wrapText="1"/>
    </xf>
    <xf numFmtId="177" fontId="2" fillId="0" borderId="0" xfId="0" applyNumberFormat="1" applyFont="1" applyBorder="1" applyAlignment="1">
      <alignment horizontal="center" vertical="center" wrapText="1"/>
    </xf>
    <xf numFmtId="177" fontId="2" fillId="0" borderId="0" xfId="0" applyFont="1" applyBorder="1" applyAlignment="1">
      <alignment horizontal="center" vertical="center" wrapText="1"/>
    </xf>
    <xf numFmtId="177" fontId="2" fillId="0" borderId="0" xfId="0" applyNumberFormat="1" applyFont="1" applyBorder="1" applyAlignment="1">
      <alignment horizontal="left" vertical="center" wrapText="1"/>
    </xf>
    <xf numFmtId="10" fontId="2" fillId="0" borderId="0" xfId="2" applyNumberFormat="1" applyFont="1" applyAlignment="1">
      <alignment horizontal="center" vertical="center"/>
    </xf>
    <xf numFmtId="180" fontId="2" fillId="0" borderId="0" xfId="0" applyNumberFormat="1" applyFon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176" fontId="9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left" vertical="center"/>
    </xf>
    <xf numFmtId="177" fontId="9" fillId="0" borderId="0" xfId="0" applyFont="1">
      <alignment vertical="center"/>
    </xf>
    <xf numFmtId="22" fontId="9" fillId="0" borderId="0" xfId="0" applyNumberFormat="1" applyFont="1">
      <alignment vertical="center"/>
    </xf>
    <xf numFmtId="22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9" fillId="0" borderId="0" xfId="0" applyNumberFormat="1" applyFont="1">
      <alignment vertical="center"/>
    </xf>
    <xf numFmtId="0" fontId="0" fillId="0" borderId="0" xfId="0" pivotButton="1" applyNumberFormat="1">
      <alignment vertical="center"/>
    </xf>
    <xf numFmtId="181" fontId="0" fillId="0" borderId="0" xfId="0" applyNumberFormat="1">
      <alignment vertical="center"/>
    </xf>
    <xf numFmtId="0" fontId="0" fillId="0" borderId="0" xfId="0" applyNumberFormat="1" applyAlignment="1">
      <alignment vertical="top"/>
    </xf>
    <xf numFmtId="0" fontId="0" fillId="0" borderId="0" xfId="0" applyNumberFormat="1" applyFont="1">
      <alignment vertical="center"/>
    </xf>
    <xf numFmtId="177" fontId="0" fillId="0" borderId="0" xfId="0" pivotButton="1" applyAlignment="1">
      <alignment horizontal="center" vertical="center"/>
    </xf>
    <xf numFmtId="177" fontId="0" fillId="0" borderId="0" xfId="0" applyAlignment="1">
      <alignment horizontal="center" vertical="center"/>
    </xf>
    <xf numFmtId="177" fontId="0" fillId="0" borderId="0" xfId="0" applyAlignment="1">
      <alignment horizontal="left" vertical="center"/>
    </xf>
    <xf numFmtId="179" fontId="0" fillId="0" borderId="0" xfId="0" applyNumberFormat="1" applyFont="1" applyAlignment="1">
      <alignment horizontal="center" vertical="center"/>
    </xf>
    <xf numFmtId="177" fontId="0" fillId="0" borderId="0" xfId="0" applyFont="1" applyAlignment="1">
      <alignment horizontal="center" vertical="center"/>
    </xf>
    <xf numFmtId="58" fontId="0" fillId="0" borderId="0" xfId="0" applyNumberFormat="1">
      <alignment vertical="center"/>
    </xf>
    <xf numFmtId="58" fontId="0" fillId="0" borderId="0" xfId="0" pivotButton="1" applyNumberFormat="1" applyAlignment="1">
      <alignment horizontal="center" vertical="center"/>
    </xf>
    <xf numFmtId="58" fontId="0" fillId="0" borderId="0" xfId="0" applyNumberFormat="1" applyAlignment="1">
      <alignment horizontal="center" vertical="center"/>
    </xf>
    <xf numFmtId="179" fontId="0" fillId="0" borderId="0" xfId="0" applyNumberFormat="1" applyAlignment="1">
      <alignment horizontal="center" vertical="center"/>
    </xf>
    <xf numFmtId="177" fontId="9" fillId="0" borderId="0" xfId="0" pivotButton="1" applyFont="1" applyAlignment="1">
      <alignment horizontal="left" vertical="center"/>
    </xf>
    <xf numFmtId="177" fontId="11" fillId="0" borderId="0" xfId="0" applyFont="1" applyAlignment="1">
      <alignment horizontal="left" vertical="center"/>
    </xf>
    <xf numFmtId="176" fontId="0" fillId="0" borderId="0" xfId="0" applyNumberFormat="1" applyAlignment="1">
      <alignment horizontal="right" vertical="center"/>
    </xf>
  </cellXfs>
  <cellStyles count="3">
    <cellStyle name="百分比" xfId="2" builtinId="5"/>
    <cellStyle name="常规" xfId="0" builtinId="0"/>
    <cellStyle name="超链接" xfId="1" builtinId="8"/>
  </cellStyles>
  <dxfs count="68">
    <dxf>
      <numFmt numFmtId="176" formatCode="h:mm;@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left" readingOrder="0"/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center" readingOrder="0"/>
    </dxf>
    <dxf>
      <alignment horizontal="left" readingOrder="0"/>
    </dxf>
    <dxf>
      <font>
        <color rgb="FFFF3300"/>
      </font>
    </dxf>
    <dxf>
      <numFmt numFmtId="45" formatCode="m&quot;月&quot;d&quot;日&quot;"/>
    </dxf>
    <dxf>
      <numFmt numFmtId="45" formatCode="m&quot;月&quot;d&quot;日&quot;"/>
    </dxf>
    <dxf>
      <font>
        <color rgb="FFFF3300"/>
      </font>
      <alignment horizontal="left" readingOrder="0"/>
    </dxf>
    <dxf>
      <numFmt numFmtId="176" formatCode="h:mm;@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left" readingOrder="0"/>
    </dxf>
    <dxf>
      <font>
        <b val="0"/>
      </font>
    </dxf>
    <dxf>
      <font>
        <b val="0"/>
      </font>
    </dxf>
    <dxf>
      <font>
        <b val="0"/>
      </font>
    </dxf>
    <dxf>
      <alignment horizontal="center" readingOrder="0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center" readingOrder="0"/>
    </dxf>
    <dxf>
      <alignment horizontal="left" readingOrder="0"/>
    </dxf>
    <dxf>
      <font>
        <color rgb="FFFF3300"/>
      </font>
    </dxf>
    <dxf>
      <numFmt numFmtId="45" formatCode="m&quot;月&quot;d&quot;日&quot;"/>
    </dxf>
    <dxf>
      <numFmt numFmtId="45" formatCode="m&quot;月&quot;d&quot;日&quot;"/>
    </dxf>
    <dxf>
      <font>
        <color rgb="FFFF3300"/>
      </font>
      <alignment horizontal="left" readingOrder="0"/>
    </dxf>
    <dxf>
      <numFmt numFmtId="0" formatCode="General"/>
    </dxf>
    <dxf>
      <numFmt numFmtId="0" formatCode="General"/>
    </dxf>
    <dxf>
      <font>
        <color rgb="FFFF3300"/>
      </font>
      <alignment horizontal="left" readingOrder="0"/>
    </dxf>
    <dxf>
      <numFmt numFmtId="45" formatCode="m&quot;月&quot;d&quot;日&quot;"/>
    </dxf>
    <dxf>
      <numFmt numFmtId="45" formatCode="m&quot;月&quot;d&quot;日&quot;"/>
    </dxf>
    <dxf>
      <font>
        <color rgb="FFFF3300"/>
      </font>
    </dxf>
    <dxf>
      <alignment horizontal="left" readingOrder="0"/>
    </dxf>
    <dxf>
      <alignment horizontal="center" readingOrder="0"/>
    </dxf>
    <dxf>
      <alignment horizontal="left" readingOrder="0"/>
    </dxf>
    <dxf>
      <alignment horizontal="left" readingOrder="0"/>
    </dxf>
    <dxf>
      <alignment horizontal="center" readingOrder="0"/>
    </dxf>
    <dxf>
      <alignment horizontal="center" readingOrder="0"/>
    </dxf>
    <dxf>
      <font>
        <b val="0"/>
      </font>
    </dxf>
    <dxf>
      <font>
        <b val="0"/>
      </font>
    </dxf>
    <dxf>
      <font>
        <b val="0"/>
      </font>
    </dxf>
    <dxf>
      <alignment horizontal="left" readingOrder="0"/>
    </dxf>
    <dxf>
      <alignment horizontal="left" readingOrder="0"/>
    </dxf>
    <dxf>
      <alignment horizontal="left" readingOrder="0"/>
    </dxf>
    <dxf>
      <alignment horizontal="center" readingOrder="0"/>
    </dxf>
    <dxf>
      <numFmt numFmtId="176" formatCode="h:mm;@"/>
    </dxf>
    <dxf>
      <fill>
        <patternFill>
          <bgColor rgb="FFFF5050"/>
        </patternFill>
      </fill>
    </dxf>
    <dxf>
      <fill>
        <patternFill>
          <fgColor rgb="FF66FF66"/>
          <bgColor theme="6" tint="0.39994506668294322"/>
        </patternFill>
      </fill>
    </dxf>
    <dxf>
      <font>
        <b/>
        <i val="0"/>
        <strike/>
      </font>
      <fill>
        <patternFill>
          <bgColor rgb="FF92D050"/>
        </patternFill>
      </fill>
    </dxf>
    <dxf>
      <fill>
        <gradientFill>
          <stop position="0">
            <color rgb="FFFF7C80"/>
          </stop>
          <stop position="1">
            <color rgb="FFFFFF00"/>
          </stop>
        </gradient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67"/>
      <tableStyleElement type="headerRow" dxfId="66"/>
    </tableStyle>
  </tableStyles>
  <colors>
    <mruColors>
      <color rgb="FFFF3300"/>
      <color rgb="FFFF0000"/>
      <color rgb="FF66FF66"/>
      <color rgb="FFFF5050"/>
      <color rgb="FFFF7C80"/>
      <color rgb="FFFF6699"/>
      <color rgb="FFFF6600"/>
      <color rgb="FFFF9999"/>
      <color rgb="FFFFFF99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zheng Guan" refreshedDate="42326.81690578704" createdVersion="6" refreshedVersion="6" minRefreshableVersion="3" recordCount="15">
  <cacheSource type="worksheet">
    <worksheetSource name="运动"/>
  </cacheSource>
  <cacheFields count="4">
    <cacheField name="时间" numFmtId="22">
      <sharedItems containsSemiMixedTypes="0" containsNonDate="0" containsDate="1" containsString="0" minDate="2015-11-15T21:39:00" maxDate="2015-11-18T17:01:00" count="11">
        <d v="2015-11-15T21:39:00"/>
        <d v="2015-11-15T21:41:00"/>
        <d v="2015-11-15T21:43:00"/>
        <d v="2015-11-15T21:45:00"/>
        <d v="2015-11-15T21:47:00"/>
        <d v="2015-11-15T21:49:00"/>
        <d v="2015-11-15T22:02:00"/>
        <d v="2015-11-15T22:12:00"/>
        <d v="2015-11-17T00:00:00"/>
        <d v="2015-11-17T23:50:00"/>
        <d v="2015-11-18T17:01:00"/>
      </sharedItems>
      <fieldGroup base="0">
        <rangePr groupBy="days" startDate="2015-11-15T21:39:00" endDate="2015-11-18T17:01:00"/>
        <groupItems count="368">
          <s v="&lt;2015/11/15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15/11/18"/>
        </groupItems>
      </fieldGroup>
    </cacheField>
    <cacheField name="项目" numFmtId="177">
      <sharedItems count="5">
        <s v="下蹲"/>
        <s v="小腿上提"/>
        <s v="仰卧起坐"/>
        <s v="俯卧撑"/>
        <s v="眼保健操"/>
      </sharedItems>
    </cacheField>
    <cacheField name="距离今天" numFmtId="181">
      <sharedItems containsSemiMixedTypes="0" containsString="0" containsNumber="1" containsInteger="1" minValue="-1" maxValue="3"/>
    </cacheField>
    <cacheField name="次数/时长" numFmtId="0">
      <sharedItems containsSemiMixedTypes="0" containsString="0" containsNumber="1" containsInteger="1" minValue="1" maxValue="5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OnLoad="1" refreshedBy="zheng Guan" refreshedDate="42327.039996296298" createdVersion="5" refreshedVersion="6" minRefreshableVersion="3" recordCount="58">
  <cacheSource type="worksheet">
    <worksheetSource name="data"/>
  </cacheSource>
  <cacheFields count="7">
    <cacheField name="日期" numFmtId="179">
      <sharedItems containsSemiMixedTypes="0" containsNonDate="0" containsDate="1" containsString="0" minDate="2015-10-23T00:00:00" maxDate="2015-11-20T00:00:00" count="26">
        <d v="2015-10-23T00:00:00"/>
        <d v="2015-10-24T00:00:00"/>
        <d v="2015-10-25T00:00:00"/>
        <d v="2015-10-26T00:00:00"/>
        <d v="2015-10-27T00:00:00"/>
        <d v="2015-10-28T00:00:00"/>
        <d v="2015-10-29T00:00:00"/>
        <d v="2015-10-30T00:00:00"/>
        <d v="2015-10-31T00:00:00"/>
        <d v="2015-11-02T00:00:00"/>
        <d v="2015-11-03T00:00:00"/>
        <d v="2015-11-04T00:00:00"/>
        <d v="2015-11-05T00:00:00"/>
        <d v="2015-11-06T00:00:00"/>
        <d v="2015-11-07T00:00:00"/>
        <d v="2015-11-08T00:00:00"/>
        <d v="2015-11-09T00:00:00"/>
        <d v="2015-11-10T00:00:00"/>
        <d v="2015-11-11T00:00:00"/>
        <d v="2015-11-12T00:00:00"/>
        <d v="2015-11-13T00:00:00"/>
        <d v="2015-11-15T00:00:00"/>
        <d v="2015-11-16T00:00:00"/>
        <d v="2015-11-17T00:00:00"/>
        <d v="2015-11-18T00:00:00"/>
        <d v="2015-11-19T00:00:00"/>
      </sharedItems>
    </cacheField>
    <cacheField name="科目" numFmtId="177">
      <sharedItems containsBlank="1" count="16">
        <s v="王佩丰Excel"/>
        <s v="曼昆-经济学原理（微观分册）"/>
        <s v="集体智慧编程(Programming Collective Intelligence)"/>
        <s v="VB.NET程序入门-中国大学MOOC"/>
        <s v="An Introduction to Interactive Programming in Python"/>
        <s v="微观经济学-中国大学MOOC"/>
        <s v="Python Cookbook"/>
        <s v="好快-意大利斜体"/>
        <s v="高数基础精讲-张宇"/>
        <s v="高等数学（一）-中国大学MOOC"/>
        <s v="Python 3.0教程-廖雪峰"/>
        <s v="百词斩-考研核心词汇"/>
        <s v="[王佩丰]Excel2010数据透视表视频教程"/>
        <s v="Python语言程序设计--中国大学MOOC"/>
        <s v="Flask官方教程"/>
        <m u="1"/>
      </sharedItems>
    </cacheField>
    <cacheField name="距离今天" numFmtId="0">
      <sharedItems containsSemiMixedTypes="0" containsString="0" containsNumber="1" containsInteger="1" minValue="0" maxValue="27"/>
    </cacheField>
    <cacheField name="时长" numFmtId="176">
      <sharedItems containsSemiMixedTypes="0" containsNonDate="0" containsDate="1" containsString="0" minDate="1899-12-30T00:21:00" maxDate="1899-12-30T02:30:00"/>
    </cacheField>
    <cacheField name="备注" numFmtId="0">
      <sharedItems containsBlank="1"/>
    </cacheField>
    <cacheField name="开始时间" numFmtId="176">
      <sharedItems containsNonDate="0" containsDate="1" containsString="0" containsBlank="1" minDate="1899-12-30T00:00:00" maxDate="1899-12-31T00:00:00"/>
    </cacheField>
    <cacheField name="结束时间" numFmtId="176">
      <sharedItems containsNonDate="0" containsDate="1" containsString="0" containsBlank="1" minDate="1899-12-30T02:25:00" maxDate="1899-12-30T20:45:00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5">
  <r>
    <x v="0"/>
    <x v="0"/>
    <n v="3"/>
    <n v="30"/>
  </r>
  <r>
    <x v="1"/>
    <x v="1"/>
    <n v="3"/>
    <n v="50"/>
  </r>
  <r>
    <x v="2"/>
    <x v="2"/>
    <n v="3"/>
    <n v="13"/>
  </r>
  <r>
    <x v="3"/>
    <x v="3"/>
    <n v="3"/>
    <n v="10"/>
  </r>
  <r>
    <x v="4"/>
    <x v="0"/>
    <n v="3"/>
    <n v="30"/>
  </r>
  <r>
    <x v="5"/>
    <x v="1"/>
    <n v="3"/>
    <n v="45"/>
  </r>
  <r>
    <x v="6"/>
    <x v="2"/>
    <n v="3"/>
    <n v="20"/>
  </r>
  <r>
    <x v="7"/>
    <x v="3"/>
    <n v="3"/>
    <n v="15"/>
  </r>
  <r>
    <x v="8"/>
    <x v="3"/>
    <n v="1"/>
    <n v="20"/>
  </r>
  <r>
    <x v="8"/>
    <x v="3"/>
    <n v="1"/>
    <n v="15"/>
  </r>
  <r>
    <x v="9"/>
    <x v="1"/>
    <n v="1"/>
    <n v="35"/>
  </r>
  <r>
    <x v="9"/>
    <x v="2"/>
    <n v="1"/>
    <n v="20"/>
  </r>
  <r>
    <x v="9"/>
    <x v="3"/>
    <n v="1"/>
    <n v="15"/>
  </r>
  <r>
    <x v="9"/>
    <x v="0"/>
    <n v="1"/>
    <n v="35"/>
  </r>
  <r>
    <x v="10"/>
    <x v="4"/>
    <n v="-1"/>
    <n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58">
  <r>
    <x v="0"/>
    <x v="0"/>
    <n v="27"/>
    <d v="1899-12-30T01:00:00"/>
    <m/>
    <m/>
    <m/>
  </r>
  <r>
    <x v="0"/>
    <x v="1"/>
    <n v="27"/>
    <d v="1899-12-30T01:30:00"/>
    <m/>
    <m/>
    <m/>
  </r>
  <r>
    <x v="1"/>
    <x v="2"/>
    <n v="26"/>
    <d v="1899-12-30T02:25:00"/>
    <m/>
    <d v="1899-12-30T00:00:00"/>
    <d v="1899-12-30T02:25:00"/>
  </r>
  <r>
    <x v="2"/>
    <x v="3"/>
    <n v="25"/>
    <d v="1899-12-30T00:21:00"/>
    <m/>
    <d v="1899-12-30T12:45:00"/>
    <d v="1899-12-30T13:06:00"/>
  </r>
  <r>
    <x v="3"/>
    <x v="0"/>
    <n v="24"/>
    <d v="1899-12-30T01:00:00"/>
    <m/>
    <m/>
    <m/>
  </r>
  <r>
    <x v="3"/>
    <x v="1"/>
    <n v="24"/>
    <d v="1899-12-30T01:00:00"/>
    <m/>
    <m/>
    <m/>
  </r>
  <r>
    <x v="4"/>
    <x v="0"/>
    <n v="23"/>
    <d v="1899-12-30T01:30:00"/>
    <m/>
    <m/>
    <m/>
  </r>
  <r>
    <x v="4"/>
    <x v="4"/>
    <n v="23"/>
    <d v="1899-12-30T00:30:00"/>
    <m/>
    <m/>
    <m/>
  </r>
  <r>
    <x v="5"/>
    <x v="0"/>
    <n v="22"/>
    <d v="1899-12-30T00:45:00"/>
    <m/>
    <m/>
    <m/>
  </r>
  <r>
    <x v="5"/>
    <x v="5"/>
    <n v="22"/>
    <d v="1899-12-30T01:05:00"/>
    <m/>
    <m/>
    <m/>
  </r>
  <r>
    <x v="6"/>
    <x v="0"/>
    <n v="21"/>
    <d v="1899-12-30T01:00:00"/>
    <m/>
    <m/>
    <m/>
  </r>
  <r>
    <x v="7"/>
    <x v="0"/>
    <n v="20"/>
    <d v="1899-12-30T01:00:00"/>
    <m/>
    <m/>
    <m/>
  </r>
  <r>
    <x v="8"/>
    <x v="6"/>
    <n v="19"/>
    <d v="1899-12-30T00:53:00"/>
    <m/>
    <d v="1899-12-30T14:37:00"/>
    <d v="1899-12-30T15:30:00"/>
  </r>
  <r>
    <x v="9"/>
    <x v="7"/>
    <n v="17"/>
    <d v="1899-12-30T00:45:00"/>
    <m/>
    <m/>
    <m/>
  </r>
  <r>
    <x v="10"/>
    <x v="0"/>
    <n v="16"/>
    <d v="1899-12-30T01:00:00"/>
    <m/>
    <m/>
    <m/>
  </r>
  <r>
    <x v="10"/>
    <x v="7"/>
    <n v="16"/>
    <d v="1899-12-30T00:30:00"/>
    <m/>
    <m/>
    <m/>
  </r>
  <r>
    <x v="11"/>
    <x v="0"/>
    <n v="15"/>
    <d v="1899-12-30T01:00:00"/>
    <m/>
    <m/>
    <m/>
  </r>
  <r>
    <x v="11"/>
    <x v="7"/>
    <n v="15"/>
    <d v="1899-12-30T00:30:00"/>
    <m/>
    <m/>
    <m/>
  </r>
  <r>
    <x v="11"/>
    <x v="1"/>
    <n v="15"/>
    <d v="1899-12-30T01:00:00"/>
    <m/>
    <m/>
    <m/>
  </r>
  <r>
    <x v="11"/>
    <x v="5"/>
    <n v="15"/>
    <d v="1899-12-30T01:30:00"/>
    <m/>
    <m/>
    <m/>
  </r>
  <r>
    <x v="11"/>
    <x v="8"/>
    <n v="15"/>
    <d v="1899-12-30T01:04:00"/>
    <m/>
    <d v="1899-12-30T19:41:00"/>
    <d v="1899-12-30T20:45:00"/>
  </r>
  <r>
    <x v="12"/>
    <x v="0"/>
    <n v="14"/>
    <d v="1899-12-30T01:10:00"/>
    <m/>
    <m/>
    <m/>
  </r>
  <r>
    <x v="12"/>
    <x v="9"/>
    <n v="14"/>
    <d v="1899-12-30T00:30:00"/>
    <m/>
    <m/>
    <m/>
  </r>
  <r>
    <x v="12"/>
    <x v="10"/>
    <n v="14"/>
    <d v="1899-12-30T01:00:00"/>
    <m/>
    <m/>
    <m/>
  </r>
  <r>
    <x v="13"/>
    <x v="0"/>
    <n v="13"/>
    <d v="1899-12-30T01:00:00"/>
    <m/>
    <m/>
    <m/>
  </r>
  <r>
    <x v="13"/>
    <x v="7"/>
    <n v="13"/>
    <d v="1899-12-30T00:45:00"/>
    <m/>
    <m/>
    <m/>
  </r>
  <r>
    <x v="13"/>
    <x v="10"/>
    <n v="13"/>
    <d v="1899-12-30T01:00:00"/>
    <m/>
    <m/>
    <m/>
  </r>
  <r>
    <x v="14"/>
    <x v="9"/>
    <n v="12"/>
    <d v="1899-12-30T00:30:00"/>
    <m/>
    <m/>
    <m/>
  </r>
  <r>
    <x v="14"/>
    <x v="10"/>
    <n v="12"/>
    <d v="1899-12-30T02:30:00"/>
    <m/>
    <m/>
    <m/>
  </r>
  <r>
    <x v="15"/>
    <x v="1"/>
    <n v="11"/>
    <d v="1899-12-30T00:45:00"/>
    <m/>
    <m/>
    <m/>
  </r>
  <r>
    <x v="15"/>
    <x v="5"/>
    <n v="11"/>
    <d v="1899-12-30T00:30:00"/>
    <m/>
    <m/>
    <m/>
  </r>
  <r>
    <x v="15"/>
    <x v="9"/>
    <n v="11"/>
    <d v="1899-12-30T00:45:00"/>
    <s v="初步了解mathematica"/>
    <m/>
    <m/>
  </r>
  <r>
    <x v="16"/>
    <x v="10"/>
    <n v="10"/>
    <d v="1899-12-30T01:00:00"/>
    <m/>
    <m/>
    <m/>
  </r>
  <r>
    <x v="16"/>
    <x v="0"/>
    <n v="10"/>
    <d v="1899-12-30T01:00:00"/>
    <m/>
    <m/>
    <m/>
  </r>
  <r>
    <x v="16"/>
    <x v="7"/>
    <n v="10"/>
    <d v="1899-12-30T00:30:00"/>
    <m/>
    <m/>
    <m/>
  </r>
  <r>
    <x v="16"/>
    <x v="11"/>
    <n v="10"/>
    <d v="1899-12-30T01:15:00"/>
    <m/>
    <m/>
    <m/>
  </r>
  <r>
    <x v="17"/>
    <x v="0"/>
    <n v="9"/>
    <d v="1899-12-30T00:30:00"/>
    <s v="第24讲是宏表函数，觉得并没有什么用，没怎么看"/>
    <m/>
    <m/>
  </r>
  <r>
    <x v="17"/>
    <x v="7"/>
    <n v="9"/>
    <d v="1899-12-30T00:30:00"/>
    <m/>
    <m/>
    <m/>
  </r>
  <r>
    <x v="18"/>
    <x v="12"/>
    <n v="8"/>
    <d v="1899-12-30T01:00:00"/>
    <m/>
    <m/>
    <m/>
  </r>
  <r>
    <x v="18"/>
    <x v="11"/>
    <n v="8"/>
    <d v="1899-12-30T00:45:00"/>
    <m/>
    <m/>
    <m/>
  </r>
  <r>
    <x v="19"/>
    <x v="11"/>
    <n v="7"/>
    <d v="1899-12-30T01:00:00"/>
    <m/>
    <m/>
    <m/>
  </r>
  <r>
    <x v="19"/>
    <x v="7"/>
    <n v="7"/>
    <d v="1899-12-30T00:40:00"/>
    <m/>
    <m/>
    <m/>
  </r>
  <r>
    <x v="20"/>
    <x v="11"/>
    <n v="6"/>
    <d v="1899-12-30T01:10:00"/>
    <m/>
    <m/>
    <m/>
  </r>
  <r>
    <x v="20"/>
    <x v="7"/>
    <n v="6"/>
    <d v="1899-12-30T00:30:00"/>
    <m/>
    <m/>
    <m/>
  </r>
  <r>
    <x v="21"/>
    <x v="13"/>
    <n v="4"/>
    <d v="1899-12-30T02:00:00"/>
    <m/>
    <m/>
    <m/>
  </r>
  <r>
    <x v="22"/>
    <x v="7"/>
    <n v="3"/>
    <d v="1899-12-30T00:30:00"/>
    <m/>
    <m/>
    <m/>
  </r>
  <r>
    <x v="22"/>
    <x v="12"/>
    <n v="3"/>
    <d v="1899-12-30T01:00:00"/>
    <m/>
    <m/>
    <m/>
  </r>
  <r>
    <x v="22"/>
    <x v="11"/>
    <n v="3"/>
    <d v="1899-12-30T00:30:00"/>
    <m/>
    <m/>
    <m/>
  </r>
  <r>
    <x v="22"/>
    <x v="13"/>
    <n v="3"/>
    <d v="1899-12-30T01:00:00"/>
    <m/>
    <m/>
    <m/>
  </r>
  <r>
    <x v="22"/>
    <x v="13"/>
    <n v="3"/>
    <d v="1899-12-30T00:30:00"/>
    <m/>
    <m/>
    <m/>
  </r>
  <r>
    <x v="23"/>
    <x v="11"/>
    <n v="2"/>
    <d v="1899-12-30T00:45:00"/>
    <m/>
    <m/>
    <m/>
  </r>
  <r>
    <x v="23"/>
    <x v="7"/>
    <n v="2"/>
    <d v="1899-12-30T00:30:00"/>
    <m/>
    <m/>
    <m/>
  </r>
  <r>
    <x v="23"/>
    <x v="12"/>
    <n v="2"/>
    <d v="1899-12-30T00:45:00"/>
    <m/>
    <m/>
    <m/>
  </r>
  <r>
    <x v="23"/>
    <x v="14"/>
    <n v="2"/>
    <d v="1899-12-30T01:00:00"/>
    <m/>
    <m/>
    <m/>
  </r>
  <r>
    <x v="24"/>
    <x v="11"/>
    <n v="1"/>
    <d v="1899-12-30T00:45:00"/>
    <m/>
    <m/>
    <m/>
  </r>
  <r>
    <x v="24"/>
    <x v="7"/>
    <n v="1"/>
    <d v="1899-12-30T00:30:00"/>
    <m/>
    <m/>
    <m/>
  </r>
  <r>
    <x v="24"/>
    <x v="13"/>
    <n v="1"/>
    <d v="1899-12-30T00:30:00"/>
    <m/>
    <m/>
    <m/>
  </r>
  <r>
    <x v="25"/>
    <x v="13"/>
    <n v="0"/>
    <d v="1899-12-30T01:15:00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数据透视表2" cacheId="13" applyNumberFormats="0" applyBorderFormats="0" applyFontFormats="0" applyPatternFormats="0" applyAlignmentFormats="0" applyWidthHeightFormats="1" dataCaption="值" updatedVersion="6" minRefreshableVersion="3" colGrandTotals="0" itemPrintTitles="1" createdVersion="5" indent="0" outline="1" outlineData="1" multipleFieldFilters="0">
  <location ref="B72:G79" firstHeaderRow="1" firstDataRow="2" firstDataCol="1"/>
  <pivotFields count="7">
    <pivotField axis="axisCol" numFmtId="179" showAll="0" sortType="descending">
      <items count="27"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axis="axisRow" showAll="0">
      <items count="17">
        <item x="12"/>
        <item x="4"/>
        <item x="10"/>
        <item x="6"/>
        <item x="13"/>
        <item x="3"/>
        <item x="11"/>
        <item x="9"/>
        <item x="8"/>
        <item x="7"/>
        <item x="2"/>
        <item x="1"/>
        <item x="0"/>
        <item x="5"/>
        <item m="1" x="15"/>
        <item x="14"/>
        <item t="default"/>
      </items>
    </pivotField>
    <pivotField showAll="0"/>
    <pivotField dataField="1" showAll="0"/>
    <pivotField showAll="0"/>
    <pivotField showAll="0"/>
    <pivotField showAll="0"/>
  </pivotFields>
  <rowFields count="1">
    <field x="1"/>
  </rowFields>
  <rowItems count="6">
    <i>
      <x/>
    </i>
    <i>
      <x v="4"/>
    </i>
    <i>
      <x v="6"/>
    </i>
    <i>
      <x v="9"/>
    </i>
    <i>
      <x v="15"/>
    </i>
    <i t="grand">
      <x/>
    </i>
  </rowItems>
  <colFields count="1">
    <field x="0"/>
  </colFields>
  <colItems count="5">
    <i>
      <x/>
    </i>
    <i>
      <x v="1"/>
    </i>
    <i>
      <x v="2"/>
    </i>
    <i>
      <x v="3"/>
    </i>
    <i>
      <x v="4"/>
    </i>
  </colItems>
  <dataFields count="1">
    <dataField name="求和项:时长" fld="3" baseField="0" baseItem="3" numFmtId="176"/>
  </dataFields>
  <formats count="18">
    <format dxfId="55">
      <pivotArea outline="0" collapsedLevelsAreSubtotals="1" fieldPosition="0"/>
    </format>
    <format dxfId="54">
      <pivotArea type="all" dataOnly="0" outline="0" fieldPosition="0"/>
    </format>
    <format dxfId="53">
      <pivotArea field="0" type="button" dataOnly="0" labelOnly="1" outline="0" axis="axisCol" fieldPosition="0"/>
    </format>
    <format dxfId="52">
      <pivotArea dataOnly="0" labelOnly="1" fieldPosition="0">
        <references count="1">
          <reference field="1" count="4">
            <x v="0"/>
            <x v="4"/>
            <x v="6"/>
            <x v="9"/>
          </reference>
        </references>
      </pivotArea>
    </format>
    <format dxfId="51">
      <pivotArea dataOnly="0" labelOnly="1" grandCol="1" outline="0" fieldPosition="0"/>
    </format>
    <format dxfId="50">
      <pivotArea field="0" type="button" dataOnly="0" labelOnly="1" outline="0" axis="axisCol" fieldPosition="0"/>
    </format>
    <format dxfId="49">
      <pivotArea dataOnly="0" labelOnly="1" fieldPosition="0">
        <references count="1">
          <reference field="1" count="4">
            <x v="0"/>
            <x v="4"/>
            <x v="6"/>
            <x v="9"/>
          </reference>
        </references>
      </pivotArea>
    </format>
    <format dxfId="48">
      <pivotArea dataOnly="0" labelOnly="1" grandCol="1" outline="0" fieldPosition="0"/>
    </format>
    <format dxfId="47">
      <pivotArea dataOnly="0" labelOnly="1" fieldPosition="0">
        <references count="1">
          <reference field="0" count="3">
            <x v="2"/>
            <x v="3"/>
            <x v="4"/>
          </reference>
        </references>
      </pivotArea>
    </format>
    <format dxfId="46">
      <pivotArea dataOnly="0" labelOnly="1" grandCol="1" outline="0" fieldPosition="0"/>
    </format>
    <format dxfId="45">
      <pivotArea dataOnly="0" labelOnly="1" fieldPosition="0">
        <references count="1">
          <reference field="1" count="4">
            <x v="0"/>
            <x v="4"/>
            <x v="6"/>
            <x v="9"/>
          </reference>
        </references>
      </pivotArea>
    </format>
    <format dxfId="44">
      <pivotArea dataOnly="0" labelOnly="1" grandRow="1" outline="0" fieldPosition="0"/>
    </format>
    <format dxfId="43">
      <pivotArea field="1" type="button" dataOnly="0" labelOnly="1" outline="0" axis="axisRow" fieldPosition="0"/>
    </format>
    <format dxfId="42">
      <pivotArea dataOnly="0" labelOnly="1" fieldPosition="0">
        <references count="1">
          <reference field="1" count="1">
            <x v="0"/>
          </reference>
        </references>
      </pivotArea>
    </format>
    <format dxfId="41">
      <pivotArea dataOnly="0" labelOnly="1" fieldPosition="0">
        <references count="1">
          <reference field="1" count="4">
            <x v="0"/>
            <x v="4"/>
            <x v="6"/>
            <x v="9"/>
          </reference>
        </references>
      </pivotArea>
    </format>
    <format dxfId="40">
      <pivotArea field="1" type="button" dataOnly="0" labelOnly="1" outline="0" axis="axisRow" fieldPosition="0"/>
    </format>
    <format dxfId="39">
      <pivotArea dataOnly="0" labelOnly="1" fieldPosition="0">
        <references count="1">
          <reference field="0" count="4">
            <x v="1"/>
            <x v="2"/>
            <x v="3"/>
            <x v="4"/>
          </reference>
        </references>
      </pivotArea>
    </format>
    <format dxfId="38">
      <pivotArea dataOnly="0" labelOnly="1" fieldPosition="0">
        <references count="1">
          <reference field="1" count="1">
            <x v="15"/>
          </reference>
        </references>
      </pivotArea>
    </format>
  </formats>
  <pivotTableStyleInfo name="PivotStyleDark2" showRowHeaders="1" showColHeaders="1" showRowStripes="1" showColStripes="1" showLastColumn="1"/>
  <filters count="1">
    <filter fld="0" type="thisWeek" evalOrder="-1" id="21">
      <autoFilter ref="A1">
        <filterColumn colId="0">
          <dynamicFilter type="thisWeek" val="42323" maxVal="4233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数据透视表2" cacheId="5" applyNumberFormats="0" applyBorderFormats="0" applyFontFormats="0" applyPatternFormats="0" applyAlignmentFormats="0" applyWidthHeightFormats="1" dataCaption="值" showError="1" updatedVersion="6" minRefreshableVersion="3" itemPrintTitles="1" createdVersion="5" indent="0" outline="1" outlineData="1" multipleFieldFilters="0">
  <location ref="F18:L23" firstHeaderRow="1" firstDataRow="2" firstDataCol="1"/>
  <pivotFields count="4">
    <pivotField axis="axisRow" numFmtId="22" showAll="0">
      <items count="369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  <item t="default"/>
      </items>
    </pivotField>
    <pivotField axis="axisCol" showAll="0">
      <items count="6">
        <item x="3"/>
        <item x="0"/>
        <item x="1"/>
        <item x="2"/>
        <item x="4"/>
        <item t="default"/>
      </items>
    </pivotField>
    <pivotField numFmtId="181" showAll="0" defaultSubtotal="0"/>
    <pivotField dataField="1" showAll="0"/>
  </pivotFields>
  <rowFields count="1">
    <field x="0"/>
  </rowFields>
  <rowItems count="4">
    <i>
      <x v="319"/>
    </i>
    <i>
      <x v="321"/>
    </i>
    <i>
      <x v="32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求和项:次数/时长" fld="3" baseField="0" baseItem="0"/>
  </dataFields>
  <formats count="1">
    <format dxfId="37">
      <pivotArea type="all" dataOnly="0" outline="0" fieldPosition="0"/>
    </format>
  </formats>
  <pivotTableStyleInfo name="PivotStyleLight16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://www.icourse163.org/learn/nudt-9004?tid=357001" TargetMode="External"/><Relationship Id="rId2" Type="http://schemas.openxmlformats.org/officeDocument/2006/relationships/hyperlink" Target="http://www.xuetangx.com/courses/course-v1:TsinghuaX+10421075X_2015_2+2015_T2/" TargetMode="External"/><Relationship Id="rId1" Type="http://schemas.openxmlformats.org/officeDocument/2006/relationships/hyperlink" Target="http://www.icourse163.org/learn/zju-199001?tid=417003" TargetMode="External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K34"/>
  <sheetViews>
    <sheetView topLeftCell="A16" workbookViewId="0">
      <selection activeCell="A46" sqref="A46"/>
    </sheetView>
  </sheetViews>
  <sheetFormatPr defaultColWidth="19.5" defaultRowHeight="16.5" x14ac:dyDescent="0.2"/>
  <cols>
    <col min="1" max="1" width="10.125" style="30" bestFit="1" customWidth="1"/>
    <col min="2" max="2" width="17.5" style="31" bestFit="1" customWidth="1"/>
    <col min="3" max="3" width="20.375" style="32" customWidth="1"/>
    <col min="4" max="4" width="18.625" style="31" bestFit="1" customWidth="1"/>
    <col min="5" max="5" width="16.25" style="31" customWidth="1"/>
    <col min="6" max="7" width="13.125" style="31" customWidth="1"/>
    <col min="8" max="11" width="13.125" style="10" customWidth="1"/>
    <col min="12" max="16384" width="19.5" style="10"/>
  </cols>
  <sheetData>
    <row r="1" spans="1:11" x14ac:dyDescent="0.2">
      <c r="A1" s="14"/>
      <c r="B1" s="15"/>
      <c r="C1" s="16"/>
      <c r="D1" s="17"/>
      <c r="E1" s="10"/>
      <c r="F1" s="9"/>
      <c r="G1" s="9" t="s">
        <v>39</v>
      </c>
      <c r="H1" s="10" t="s">
        <v>40</v>
      </c>
    </row>
    <row r="2" spans="1:11" s="11" customFormat="1" x14ac:dyDescent="0.2">
      <c r="A2" s="18"/>
      <c r="B2" s="19"/>
      <c r="C2" s="20"/>
      <c r="D2" s="21"/>
      <c r="F2" s="11">
        <v>42306</v>
      </c>
      <c r="G2" s="11">
        <v>42364</v>
      </c>
      <c r="H2" s="11">
        <v>42408</v>
      </c>
      <c r="I2" s="11">
        <v>42468</v>
      </c>
      <c r="J2" s="11">
        <v>42546</v>
      </c>
      <c r="K2" s="11">
        <v>42728</v>
      </c>
    </row>
    <row r="3" spans="1:11" x14ac:dyDescent="0.2">
      <c r="A3" s="14"/>
      <c r="B3" s="15"/>
      <c r="C3" s="16"/>
      <c r="D3" s="17"/>
      <c r="E3" s="10"/>
      <c r="F3" s="9"/>
      <c r="G3" s="12">
        <f ca="1">G2-TODAY()</f>
        <v>37</v>
      </c>
      <c r="H3" s="13">
        <f ca="1">H2-TODAY()</f>
        <v>81</v>
      </c>
      <c r="I3" s="13">
        <f ca="1">I2-TODAY()</f>
        <v>141</v>
      </c>
      <c r="J3" s="13">
        <f ca="1">J2-TODAY()</f>
        <v>219</v>
      </c>
      <c r="K3" s="13">
        <f ca="1">K2-TODAY()</f>
        <v>401</v>
      </c>
    </row>
    <row r="4" spans="1:11" x14ac:dyDescent="0.2">
      <c r="A4" s="14"/>
      <c r="B4" s="15"/>
      <c r="C4" s="16"/>
      <c r="D4" s="17"/>
      <c r="E4" s="10"/>
      <c r="F4" s="10"/>
      <c r="G4" s="10"/>
    </row>
    <row r="5" spans="1:11" ht="66" x14ac:dyDescent="0.2">
      <c r="A5" s="14" t="s">
        <v>41</v>
      </c>
      <c r="B5" s="15" t="s">
        <v>54</v>
      </c>
      <c r="C5" s="22" t="s">
        <v>24</v>
      </c>
      <c r="D5" s="23" t="s">
        <v>14</v>
      </c>
      <c r="E5" s="10"/>
      <c r="F5" s="10"/>
      <c r="G5" s="10"/>
    </row>
    <row r="6" spans="1:11" x14ac:dyDescent="0.2">
      <c r="A6" s="14" t="s">
        <v>41</v>
      </c>
      <c r="B6" s="15" t="s">
        <v>64</v>
      </c>
      <c r="C6" s="16"/>
      <c r="D6" s="17"/>
      <c r="E6" s="10"/>
      <c r="F6" s="10"/>
      <c r="G6" s="10"/>
    </row>
    <row r="7" spans="1:11" x14ac:dyDescent="0.2">
      <c r="A7" s="14" t="s">
        <v>41</v>
      </c>
      <c r="B7" s="15" t="s">
        <v>65</v>
      </c>
      <c r="C7" s="16"/>
      <c r="D7" s="17"/>
      <c r="E7" s="10"/>
      <c r="F7" s="10"/>
      <c r="G7" s="10"/>
    </row>
    <row r="8" spans="1:11" x14ac:dyDescent="0.2">
      <c r="A8" s="14" t="s">
        <v>62</v>
      </c>
      <c r="B8" s="15" t="s">
        <v>55</v>
      </c>
      <c r="C8" s="16" t="s">
        <v>42</v>
      </c>
      <c r="D8" s="17"/>
      <c r="E8" s="10"/>
      <c r="F8" s="10"/>
      <c r="G8" s="10"/>
    </row>
    <row r="9" spans="1:11" x14ac:dyDescent="0.2">
      <c r="A9" s="14" t="s">
        <v>62</v>
      </c>
      <c r="B9" s="15" t="s">
        <v>56</v>
      </c>
      <c r="C9" s="16"/>
      <c r="D9" s="17"/>
      <c r="E9" s="10"/>
      <c r="F9" s="10"/>
      <c r="G9" s="10"/>
    </row>
    <row r="10" spans="1:11" x14ac:dyDescent="0.2">
      <c r="A10" s="14" t="s">
        <v>62</v>
      </c>
      <c r="B10" s="15" t="s">
        <v>57</v>
      </c>
      <c r="C10" s="15"/>
      <c r="D10" s="17"/>
      <c r="E10" s="10"/>
      <c r="F10" s="10"/>
      <c r="G10" s="10"/>
    </row>
    <row r="11" spans="1:11" ht="21" customHeight="1" x14ac:dyDescent="0.2">
      <c r="A11" s="14" t="s">
        <v>62</v>
      </c>
      <c r="B11" s="15" t="s">
        <v>59</v>
      </c>
      <c r="C11" s="22" t="s">
        <v>84</v>
      </c>
      <c r="D11" s="17"/>
      <c r="E11" s="10"/>
      <c r="F11" s="10"/>
      <c r="G11" s="10"/>
    </row>
    <row r="12" spans="1:11" ht="18.75" customHeight="1" x14ac:dyDescent="0.2">
      <c r="A12" s="14" t="s">
        <v>62</v>
      </c>
      <c r="B12" s="15" t="s">
        <v>60</v>
      </c>
      <c r="C12" s="22" t="s">
        <v>132</v>
      </c>
      <c r="D12" s="17"/>
      <c r="E12" s="10"/>
      <c r="F12" s="10"/>
      <c r="G12" s="10"/>
    </row>
    <row r="13" spans="1:11" ht="49.5" x14ac:dyDescent="0.2">
      <c r="A13" s="14" t="s">
        <v>62</v>
      </c>
      <c r="B13" s="15" t="s">
        <v>58</v>
      </c>
      <c r="C13" s="22" t="s">
        <v>133</v>
      </c>
      <c r="D13" s="17"/>
      <c r="E13" s="10"/>
      <c r="F13" s="10"/>
      <c r="G13" s="10"/>
    </row>
    <row r="14" spans="1:11" ht="33" x14ac:dyDescent="0.2">
      <c r="A14" s="14" t="s">
        <v>62</v>
      </c>
      <c r="B14" s="15" t="s">
        <v>61</v>
      </c>
      <c r="C14" s="22" t="s">
        <v>85</v>
      </c>
      <c r="D14" s="17"/>
      <c r="E14" s="10"/>
      <c r="F14" s="10"/>
      <c r="G14" s="10"/>
    </row>
    <row r="15" spans="1:11" x14ac:dyDescent="0.2">
      <c r="A15" s="14" t="s">
        <v>63</v>
      </c>
      <c r="B15" s="15" t="s">
        <v>66</v>
      </c>
      <c r="C15" s="16"/>
      <c r="D15" s="17"/>
      <c r="E15" s="10"/>
      <c r="F15" s="10"/>
      <c r="G15" s="10"/>
    </row>
    <row r="16" spans="1:11" x14ac:dyDescent="0.2">
      <c r="A16" s="14" t="s">
        <v>63</v>
      </c>
      <c r="B16" s="15" t="s">
        <v>67</v>
      </c>
      <c r="C16" s="16"/>
      <c r="D16" s="17"/>
      <c r="E16" s="10"/>
      <c r="F16" s="10"/>
      <c r="G16" s="10"/>
    </row>
    <row r="17" spans="1:7" x14ac:dyDescent="0.2">
      <c r="A17" s="14" t="s">
        <v>63</v>
      </c>
      <c r="B17" s="15" t="s">
        <v>68</v>
      </c>
      <c r="C17" s="16"/>
      <c r="D17" s="17"/>
      <c r="E17" s="10"/>
      <c r="F17" s="10"/>
      <c r="G17" s="10"/>
    </row>
    <row r="18" spans="1:7" x14ac:dyDescent="0.2">
      <c r="A18" s="14" t="s">
        <v>63</v>
      </c>
      <c r="B18" s="15" t="s">
        <v>69</v>
      </c>
      <c r="C18" s="16"/>
      <c r="D18" s="17"/>
      <c r="E18" s="10"/>
      <c r="F18" s="10"/>
      <c r="G18" s="10"/>
    </row>
    <row r="19" spans="1:7" x14ac:dyDescent="0.2">
      <c r="A19" s="14" t="s">
        <v>63</v>
      </c>
      <c r="B19" s="15" t="s">
        <v>70</v>
      </c>
      <c r="C19" s="16"/>
      <c r="D19" s="17"/>
      <c r="E19" s="10"/>
      <c r="F19" s="10"/>
      <c r="G19" s="10"/>
    </row>
    <row r="20" spans="1:7" x14ac:dyDescent="0.2">
      <c r="A20" s="26"/>
      <c r="B20" s="27"/>
      <c r="C20" s="28"/>
      <c r="D20" s="29"/>
      <c r="E20" s="10"/>
      <c r="F20" s="10"/>
      <c r="G20" s="10"/>
    </row>
    <row r="22" spans="1:7" x14ac:dyDescent="0.2">
      <c r="A22" s="30" t="s">
        <v>91</v>
      </c>
      <c r="B22" s="31" t="s">
        <v>111</v>
      </c>
      <c r="C22" s="32" t="s">
        <v>112</v>
      </c>
      <c r="D22" s="31" t="s">
        <v>113</v>
      </c>
    </row>
    <row r="23" spans="1:7" x14ac:dyDescent="0.2">
      <c r="A23" s="30" t="s">
        <v>92</v>
      </c>
      <c r="B23" s="31" t="s">
        <v>93</v>
      </c>
      <c r="C23" s="32" t="s">
        <v>96</v>
      </c>
      <c r="D23" s="31" t="s">
        <v>97</v>
      </c>
      <c r="E23" s="31" t="s">
        <v>98</v>
      </c>
    </row>
    <row r="24" spans="1:7" x14ac:dyDescent="0.2">
      <c r="B24" s="31" t="s">
        <v>94</v>
      </c>
    </row>
    <row r="25" spans="1:7" x14ac:dyDescent="0.2">
      <c r="B25" s="31" t="s">
        <v>95</v>
      </c>
    </row>
    <row r="26" spans="1:7" x14ac:dyDescent="0.2">
      <c r="B26" s="31" t="s">
        <v>99</v>
      </c>
    </row>
    <row r="29" spans="1:7" x14ac:dyDescent="0.2">
      <c r="A29" s="30" t="s">
        <v>123</v>
      </c>
    </row>
    <row r="30" spans="1:7" x14ac:dyDescent="0.2">
      <c r="A30" s="30" t="s">
        <v>124</v>
      </c>
    </row>
    <row r="31" spans="1:7" x14ac:dyDescent="0.2">
      <c r="A31" s="30" t="s">
        <v>125</v>
      </c>
    </row>
    <row r="32" spans="1:7" x14ac:dyDescent="0.2">
      <c r="A32" s="30" t="s">
        <v>126</v>
      </c>
    </row>
    <row r="33" spans="1:1" x14ac:dyDescent="0.2">
      <c r="A33" s="30" t="s">
        <v>127</v>
      </c>
    </row>
    <row r="34" spans="1:1" x14ac:dyDescent="0.2">
      <c r="A34" s="30" t="s">
        <v>128</v>
      </c>
    </row>
  </sheetData>
  <phoneticPr fontId="4" type="noConversion"/>
  <conditionalFormatting sqref="A1:D21 A22 A23:D29 A31:D1048576 A30">
    <cfRule type="expression" dxfId="65" priority="1">
      <formula>$A1="graduate"</formula>
    </cfRule>
    <cfRule type="expression" dxfId="64" priority="2">
      <formula>$A1="CS"</formula>
    </cfRule>
    <cfRule type="expression" dxfId="63" priority="3">
      <formula>$A1="python"</formula>
    </cfRule>
  </conditionalFormatting>
  <conditionalFormatting sqref="B22:D22">
    <cfRule type="expression" dxfId="62" priority="13">
      <formula>$A30="graduate"</formula>
    </cfRule>
    <cfRule type="expression" dxfId="61" priority="14">
      <formula>$A30="CS"</formula>
    </cfRule>
    <cfRule type="expression" dxfId="60" priority="15">
      <formula>$A30="python"</formula>
    </cfRule>
  </conditionalFormatting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F16"/>
  <sheetViews>
    <sheetView workbookViewId="0">
      <selection activeCell="A2" sqref="A2:XFD2"/>
    </sheetView>
  </sheetViews>
  <sheetFormatPr defaultRowHeight="14.25" x14ac:dyDescent="0.2"/>
  <cols>
    <col min="3" max="3" width="9" style="43"/>
    <col min="5" max="5" width="16.5" customWidth="1"/>
    <col min="6" max="6" width="9.125" bestFit="1" customWidth="1"/>
    <col min="7" max="7" width="5.25" customWidth="1"/>
    <col min="10" max="10" width="6.5" customWidth="1"/>
    <col min="11" max="11" width="5.25" customWidth="1"/>
  </cols>
  <sheetData>
    <row r="1" spans="1:6" x14ac:dyDescent="0.2">
      <c r="A1" s="40" t="s">
        <v>134</v>
      </c>
      <c r="B1" s="40" t="s">
        <v>135</v>
      </c>
      <c r="C1" s="43" t="s">
        <v>151</v>
      </c>
    </row>
    <row r="2" spans="1:6" x14ac:dyDescent="0.2">
      <c r="A2" s="40"/>
      <c r="B2" s="40"/>
    </row>
    <row r="3" spans="1:6" x14ac:dyDescent="0.2">
      <c r="A3" s="40"/>
      <c r="B3" s="40" t="s">
        <v>142</v>
      </c>
      <c r="C3" s="43">
        <v>1</v>
      </c>
    </row>
    <row r="4" spans="1:6" x14ac:dyDescent="0.2">
      <c r="B4" t="s">
        <v>138</v>
      </c>
      <c r="C4" s="43">
        <v>1</v>
      </c>
    </row>
    <row r="5" spans="1:6" x14ac:dyDescent="0.2">
      <c r="B5" t="s">
        <v>139</v>
      </c>
      <c r="C5" s="43">
        <v>1</v>
      </c>
    </row>
    <row r="6" spans="1:6" x14ac:dyDescent="0.2">
      <c r="B6" t="s">
        <v>140</v>
      </c>
      <c r="C6" s="43">
        <v>1</v>
      </c>
    </row>
    <row r="7" spans="1:6" x14ac:dyDescent="0.2">
      <c r="B7" t="s">
        <v>141</v>
      </c>
      <c r="C7" s="43">
        <v>1</v>
      </c>
    </row>
    <row r="8" spans="1:6" x14ac:dyDescent="0.2">
      <c r="B8" t="s">
        <v>150</v>
      </c>
      <c r="C8" s="43">
        <v>1</v>
      </c>
    </row>
    <row r="13" spans="1:6" x14ac:dyDescent="0.2">
      <c r="E13" s="43"/>
      <c r="F13" s="43"/>
    </row>
    <row r="14" spans="1:6" x14ac:dyDescent="0.2">
      <c r="E14" s="39"/>
      <c r="F14" s="43"/>
    </row>
    <row r="15" spans="1:6" x14ac:dyDescent="0.2">
      <c r="E15" s="39"/>
      <c r="F15" s="43"/>
    </row>
    <row r="16" spans="1:6" x14ac:dyDescent="0.2">
      <c r="E16" s="39"/>
      <c r="F16" s="43"/>
    </row>
  </sheetData>
  <phoneticPr fontId="10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92D050"/>
  </sheetPr>
  <dimension ref="A1:G33"/>
  <sheetViews>
    <sheetView topLeftCell="A19" workbookViewId="0">
      <selection activeCell="D13" sqref="D13"/>
    </sheetView>
  </sheetViews>
  <sheetFormatPr defaultColWidth="9" defaultRowHeight="16.5" x14ac:dyDescent="0.2"/>
  <cols>
    <col min="1" max="1" width="21.375" style="2" customWidth="1"/>
    <col min="2" max="2" width="0" style="3" hidden="1" customWidth="1"/>
    <col min="3" max="3" width="43.25" style="3" customWidth="1"/>
    <col min="4" max="4" width="6" style="4" customWidth="1"/>
    <col min="5" max="5" width="9.5" style="5" customWidth="1"/>
    <col min="6" max="6" width="9" style="34"/>
    <col min="7" max="7" width="11.25" style="33" bestFit="1" customWidth="1"/>
    <col min="8" max="16384" width="9" style="3"/>
  </cols>
  <sheetData>
    <row r="1" spans="1:7" x14ac:dyDescent="0.2">
      <c r="A1" s="6" t="s">
        <v>4</v>
      </c>
      <c r="B1" s="3" t="s">
        <v>43</v>
      </c>
      <c r="C1" s="7" t="s">
        <v>5</v>
      </c>
      <c r="D1" s="8" t="s">
        <v>6</v>
      </c>
      <c r="E1" s="5" t="s">
        <v>35</v>
      </c>
      <c r="F1" s="34" t="s">
        <v>100</v>
      </c>
      <c r="G1" s="33" t="s">
        <v>101</v>
      </c>
    </row>
    <row r="2" spans="1:7" x14ac:dyDescent="0.2">
      <c r="A2" s="2" t="s">
        <v>37</v>
      </c>
      <c r="B2" s="3" t="s">
        <v>49</v>
      </c>
      <c r="C2" s="2" t="s">
        <v>110</v>
      </c>
      <c r="D2" s="4">
        <v>1</v>
      </c>
      <c r="E2" s="5">
        <f>SUMIF(学习记录!B:B,C2,学习记录!D:D)</f>
        <v>0.22916666666666666</v>
      </c>
    </row>
    <row r="3" spans="1:7" x14ac:dyDescent="0.2">
      <c r="A3" s="2" t="s">
        <v>37</v>
      </c>
      <c r="C3" s="2" t="s">
        <v>154</v>
      </c>
      <c r="D3" s="4">
        <v>1</v>
      </c>
      <c r="E3" s="5">
        <f>SUMIF(学习记录!B:B,C3,学习记录!D:D)</f>
        <v>0.23958333333333337</v>
      </c>
    </row>
    <row r="4" spans="1:7" x14ac:dyDescent="0.2">
      <c r="A4" s="2" t="s">
        <v>158</v>
      </c>
      <c r="C4" s="2" t="s">
        <v>160</v>
      </c>
      <c r="D4" s="4">
        <v>1</v>
      </c>
      <c r="E4" s="5">
        <f>SUMIF(学习记录!B:B,C4,学习记录!D:D)</f>
        <v>4.1666666666666664E-2</v>
      </c>
    </row>
    <row r="5" spans="1:7" x14ac:dyDescent="0.2">
      <c r="A5" s="2" t="s">
        <v>102</v>
      </c>
      <c r="B5" s="3" t="s">
        <v>78</v>
      </c>
      <c r="C5" s="3" t="s">
        <v>12</v>
      </c>
      <c r="D5" s="4">
        <v>1</v>
      </c>
      <c r="E5" s="5">
        <f>SUMIF(学习记录!B:B,C5,学习记录!D:D)</f>
        <v>0.17708333333333331</v>
      </c>
      <c r="F5" s="34">
        <v>1</v>
      </c>
      <c r="G5" s="33">
        <f>E5/F5</f>
        <v>0.17708333333333331</v>
      </c>
    </row>
    <row r="6" spans="1:7" x14ac:dyDescent="0.2">
      <c r="A6" s="2" t="s">
        <v>115</v>
      </c>
      <c r="B6" s="3" t="s">
        <v>88</v>
      </c>
      <c r="C6" s="3" t="s">
        <v>87</v>
      </c>
      <c r="D6" s="4">
        <v>1</v>
      </c>
      <c r="E6" s="5">
        <f>SUMIF(学习记录!B:B,C6,学习记录!D:D)</f>
        <v>0.27777777777777779</v>
      </c>
    </row>
    <row r="7" spans="1:7" x14ac:dyDescent="0.2">
      <c r="A7" s="2" t="s">
        <v>102</v>
      </c>
      <c r="B7" s="3" t="s">
        <v>79</v>
      </c>
      <c r="C7" s="3" t="s">
        <v>34</v>
      </c>
      <c r="D7" s="4">
        <v>1</v>
      </c>
      <c r="E7" s="5">
        <f>SUMIF(学习记录!B:B,C7,学习记录!D:D)</f>
        <v>0.12847222222222224</v>
      </c>
      <c r="F7" s="34">
        <v>1.25</v>
      </c>
      <c r="G7" s="33">
        <f>E7/F7</f>
        <v>0.10277777777777779</v>
      </c>
    </row>
    <row r="8" spans="1:7" x14ac:dyDescent="0.2">
      <c r="A8" s="2" t="s">
        <v>116</v>
      </c>
      <c r="C8" s="3" t="s">
        <v>118</v>
      </c>
      <c r="D8" s="4">
        <v>1</v>
      </c>
      <c r="E8" s="5">
        <f>SUMIF(学习记录!B:B,C8,学习记录!D:D)</f>
        <v>0.28819444444444442</v>
      </c>
    </row>
    <row r="9" spans="1:7" x14ac:dyDescent="0.2">
      <c r="A9" s="2" t="s">
        <v>103</v>
      </c>
      <c r="C9" s="24" t="s">
        <v>108</v>
      </c>
      <c r="D9" s="4">
        <v>1</v>
      </c>
      <c r="E9" s="5">
        <f>SUMIF(学习记录!B:B,C9,学习记录!D:D)</f>
        <v>7.2916666666666657E-2</v>
      </c>
    </row>
    <row r="10" spans="1:7" x14ac:dyDescent="0.2">
      <c r="A10" s="2" t="s">
        <v>103</v>
      </c>
      <c r="B10" s="3" t="s">
        <v>71</v>
      </c>
      <c r="C10" s="3" t="s">
        <v>105</v>
      </c>
      <c r="D10" s="4">
        <v>1</v>
      </c>
      <c r="E10" s="5">
        <f>SUMIF(学习记录!B:B,C10,学习记录!D:D)</f>
        <v>4.4444444444444509E-2</v>
      </c>
    </row>
    <row r="11" spans="1:7" x14ac:dyDescent="0.2">
      <c r="A11" s="2" t="s">
        <v>129</v>
      </c>
      <c r="C11" s="3" t="s">
        <v>131</v>
      </c>
      <c r="D11" s="8">
        <v>1</v>
      </c>
      <c r="E11" s="5">
        <f>SUMIF(学习记录!B:B,C11,学习记录!D:D)</f>
        <v>0.11458333333333333</v>
      </c>
      <c r="F11" s="34">
        <v>0.58333333333333337</v>
      </c>
      <c r="G11" s="33">
        <f>E11/F11</f>
        <v>0.1964285714285714</v>
      </c>
    </row>
    <row r="12" spans="1:7" x14ac:dyDescent="0.2">
      <c r="A12" s="2" t="s">
        <v>144</v>
      </c>
      <c r="C12" s="3" t="s">
        <v>143</v>
      </c>
      <c r="D12" s="8">
        <v>2</v>
      </c>
      <c r="E12" s="5">
        <f>SUMIF(学习记录!B:B,C12,学习记录!D:D)</f>
        <v>0</v>
      </c>
    </row>
    <row r="13" spans="1:7" x14ac:dyDescent="0.2">
      <c r="A13" s="6" t="s">
        <v>9</v>
      </c>
      <c r="B13" s="3" t="s">
        <v>45</v>
      </c>
      <c r="C13" s="6" t="s">
        <v>10</v>
      </c>
      <c r="D13" s="4">
        <v>2</v>
      </c>
      <c r="E13" s="5">
        <f>SUMIF(学习记录!B:B,C13,学习记录!D:D)</f>
        <v>0.100694444444444</v>
      </c>
    </row>
    <row r="14" spans="1:7" x14ac:dyDescent="0.2">
      <c r="A14" s="2" t="s">
        <v>37</v>
      </c>
      <c r="B14" s="3" t="s">
        <v>47</v>
      </c>
      <c r="C14" s="3" t="s">
        <v>38</v>
      </c>
      <c r="D14" s="4">
        <v>2</v>
      </c>
      <c r="E14" s="5">
        <f>SUMIF(学习记录!B:B,C14,学习记录!D:D)</f>
        <v>3.6805555555555536E-2</v>
      </c>
    </row>
    <row r="15" spans="1:7" x14ac:dyDescent="0.2">
      <c r="A15" s="2" t="s">
        <v>9</v>
      </c>
      <c r="B15" s="3" t="s">
        <v>46</v>
      </c>
      <c r="C15" s="2" t="s">
        <v>24</v>
      </c>
      <c r="D15" s="4">
        <v>2</v>
      </c>
      <c r="E15" s="5">
        <f>SUMIF(学习记录!B:B,C15,学习记录!D:D)</f>
        <v>2.0833333333333332E-2</v>
      </c>
    </row>
    <row r="16" spans="1:7" x14ac:dyDescent="0.2">
      <c r="A16" s="2" t="s">
        <v>103</v>
      </c>
      <c r="C16" s="24" t="s">
        <v>107</v>
      </c>
      <c r="D16" s="4">
        <v>2</v>
      </c>
      <c r="E16" s="5">
        <f>SUMIF(学习记录!B:B,C16,学习记录!D:D)</f>
        <v>0</v>
      </c>
    </row>
    <row r="17" spans="1:5" x14ac:dyDescent="0.2">
      <c r="A17" s="2" t="s">
        <v>103</v>
      </c>
      <c r="C17" s="3" t="s">
        <v>106</v>
      </c>
      <c r="D17" s="4">
        <v>2</v>
      </c>
      <c r="E17" s="5">
        <f>SUMIF(学习记录!B:B,C17,学习记录!D:D)</f>
        <v>0</v>
      </c>
    </row>
    <row r="18" spans="1:5" x14ac:dyDescent="0.2">
      <c r="A18" s="2" t="s">
        <v>89</v>
      </c>
      <c r="C18" s="24" t="s">
        <v>90</v>
      </c>
      <c r="D18" s="4">
        <v>2</v>
      </c>
      <c r="E18" s="5">
        <f>SUMIF(学习记录!B:B,C18,学习记录!D:D)</f>
        <v>0</v>
      </c>
    </row>
    <row r="19" spans="1:5" x14ac:dyDescent="0.2">
      <c r="A19" s="2" t="s">
        <v>37</v>
      </c>
      <c r="B19" s="3" t="s">
        <v>48</v>
      </c>
      <c r="C19" s="2" t="s">
        <v>13</v>
      </c>
      <c r="D19" s="4">
        <v>2</v>
      </c>
      <c r="E19" s="5">
        <f>SUMIF(学习记录!B:B,C19,学习记录!D:D)</f>
        <v>0</v>
      </c>
    </row>
    <row r="20" spans="1:5" x14ac:dyDescent="0.2">
      <c r="A20" s="2" t="s">
        <v>37</v>
      </c>
      <c r="B20" s="3" t="s">
        <v>50</v>
      </c>
      <c r="C20" s="2" t="s">
        <v>15</v>
      </c>
      <c r="D20" s="4">
        <v>2</v>
      </c>
      <c r="E20" s="5">
        <f>SUMIF(学习记录!B:B,C20,学习记录!D:D)</f>
        <v>0</v>
      </c>
    </row>
    <row r="21" spans="1:5" x14ac:dyDescent="0.2">
      <c r="A21" s="2" t="s">
        <v>37</v>
      </c>
      <c r="B21" s="3" t="s">
        <v>51</v>
      </c>
      <c r="C21" s="2" t="s">
        <v>23</v>
      </c>
      <c r="D21" s="4">
        <v>2</v>
      </c>
      <c r="E21" s="5">
        <f>SUMIF(学习记录!B:B,C21,学习记录!D:D)</f>
        <v>0</v>
      </c>
    </row>
    <row r="22" spans="1:5" x14ac:dyDescent="0.2">
      <c r="A22" s="2" t="s">
        <v>11</v>
      </c>
      <c r="B22" s="3" t="s">
        <v>72</v>
      </c>
      <c r="C22" s="3" t="s">
        <v>26</v>
      </c>
      <c r="D22" s="4">
        <v>2</v>
      </c>
      <c r="E22" s="5">
        <f>SUMIF(学习记录!B:B,C22,学习记录!D:D)</f>
        <v>0</v>
      </c>
    </row>
    <row r="23" spans="1:5" x14ac:dyDescent="0.2">
      <c r="A23" s="2" t="s">
        <v>16</v>
      </c>
      <c r="B23" s="3" t="s">
        <v>74</v>
      </c>
      <c r="C23" s="2" t="s">
        <v>16</v>
      </c>
      <c r="D23" s="4">
        <v>2</v>
      </c>
      <c r="E23" s="5">
        <f>SUMIF(学习记录!B:B,C23,学习记录!D:D)</f>
        <v>0</v>
      </c>
    </row>
    <row r="24" spans="1:5" x14ac:dyDescent="0.2">
      <c r="A24" s="2" t="s">
        <v>16</v>
      </c>
      <c r="B24" s="3" t="s">
        <v>75</v>
      </c>
      <c r="C24" s="3" t="s">
        <v>27</v>
      </c>
      <c r="D24" s="4">
        <v>2</v>
      </c>
      <c r="E24" s="5">
        <f>SUMIF(学习记录!B:B,C24,学习记录!D:D)</f>
        <v>0</v>
      </c>
    </row>
    <row r="25" spans="1:5" x14ac:dyDescent="0.2">
      <c r="A25" s="2" t="s">
        <v>16</v>
      </c>
      <c r="B25" s="3" t="s">
        <v>76</v>
      </c>
      <c r="C25" s="3" t="s">
        <v>28</v>
      </c>
      <c r="D25" s="4">
        <v>2</v>
      </c>
      <c r="E25" s="5">
        <f>SUMIF(学习记录!B:B,C25,学习记录!D:D)</f>
        <v>0</v>
      </c>
    </row>
    <row r="26" spans="1:5" x14ac:dyDescent="0.2">
      <c r="A26" s="2" t="s">
        <v>17</v>
      </c>
      <c r="B26" s="3" t="s">
        <v>80</v>
      </c>
      <c r="C26" s="3" t="s">
        <v>18</v>
      </c>
      <c r="D26" s="4">
        <v>2</v>
      </c>
      <c r="E26" s="5">
        <f>SUMIF(学习记录!B:B,C26,学习记录!D:D)</f>
        <v>0</v>
      </c>
    </row>
    <row r="27" spans="1:5" x14ac:dyDescent="0.2">
      <c r="A27" s="2" t="s">
        <v>17</v>
      </c>
      <c r="B27" s="3" t="s">
        <v>81</v>
      </c>
      <c r="C27" s="3" t="s">
        <v>19</v>
      </c>
      <c r="D27" s="4">
        <v>2</v>
      </c>
      <c r="E27" s="5">
        <f>SUMIF(学习记录!B:B,C27,学习记录!D:D)</f>
        <v>0</v>
      </c>
    </row>
    <row r="28" spans="1:5" x14ac:dyDescent="0.2">
      <c r="A28" s="2" t="s">
        <v>9</v>
      </c>
      <c r="B28" s="3" t="s">
        <v>52</v>
      </c>
      <c r="C28" s="2" t="s">
        <v>20</v>
      </c>
      <c r="D28" s="4">
        <v>3</v>
      </c>
      <c r="E28" s="5">
        <f>SUMIF(学习记录!B:B,C28,学习记录!D:D)</f>
        <v>0</v>
      </c>
    </row>
    <row r="29" spans="1:5" x14ac:dyDescent="0.2">
      <c r="A29" s="2" t="s">
        <v>9</v>
      </c>
      <c r="B29" s="3" t="s">
        <v>53</v>
      </c>
      <c r="C29" s="2" t="s">
        <v>25</v>
      </c>
      <c r="D29" s="4">
        <v>3</v>
      </c>
      <c r="E29" s="5">
        <f>SUMIF(学习记录!B:B,C29,学习记录!D:D)</f>
        <v>0</v>
      </c>
    </row>
    <row r="30" spans="1:5" x14ac:dyDescent="0.2">
      <c r="A30" s="2" t="s">
        <v>16</v>
      </c>
      <c r="B30" s="3" t="s">
        <v>77</v>
      </c>
      <c r="C30" s="3" t="s">
        <v>29</v>
      </c>
      <c r="D30" s="4">
        <v>3</v>
      </c>
      <c r="E30" s="5">
        <f>SUMIF(学习记录!B:B,C30,学习记录!D:D)</f>
        <v>0</v>
      </c>
    </row>
    <row r="31" spans="1:5" x14ac:dyDescent="0.2">
      <c r="A31" s="2" t="s">
        <v>17</v>
      </c>
      <c r="B31" s="3" t="s">
        <v>82</v>
      </c>
      <c r="C31" s="3" t="s">
        <v>30</v>
      </c>
      <c r="D31" s="4">
        <v>3</v>
      </c>
      <c r="E31" s="5">
        <f>SUMIF(学习记录!B:B,C31,学习记录!D:D)</f>
        <v>0</v>
      </c>
    </row>
    <row r="32" spans="1:5" x14ac:dyDescent="0.2">
      <c r="A32" s="6" t="s">
        <v>21</v>
      </c>
      <c r="B32" s="3" t="s">
        <v>73</v>
      </c>
      <c r="C32" s="7" t="s">
        <v>22</v>
      </c>
      <c r="D32" s="4">
        <v>5</v>
      </c>
      <c r="E32" s="5">
        <f>SUMIF(学习记录!B:B,C32,学习记录!D:D)</f>
        <v>1.4583333333332948E-2</v>
      </c>
    </row>
    <row r="33" spans="1:7" x14ac:dyDescent="0.2">
      <c r="A33" s="2" t="s">
        <v>7</v>
      </c>
      <c r="B33" s="3" t="s">
        <v>44</v>
      </c>
      <c r="C33" s="3" t="s">
        <v>121</v>
      </c>
      <c r="D33" s="4">
        <v>100</v>
      </c>
      <c r="E33" s="5">
        <f>SUMIF(学习记录!B:B,C33,学习记录!D:D)</f>
        <v>0.4965277777777779</v>
      </c>
      <c r="F33" s="34">
        <v>0.49652777777777773</v>
      </c>
      <c r="G33" s="33">
        <f>E33/F33</f>
        <v>1.0000000000000004</v>
      </c>
    </row>
  </sheetData>
  <autoFilter ref="A1:E33"/>
  <sortState ref="A2:G30">
    <sortCondition ref="D2:D30"/>
    <sortCondition descending="1" ref="E2:E30"/>
  </sortState>
  <phoneticPr fontId="4" type="noConversion"/>
  <conditionalFormatting sqref="A1:F1048576">
    <cfRule type="expression" dxfId="59" priority="6">
      <formula>$D1=1</formula>
    </cfRule>
  </conditionalFormatting>
  <conditionalFormatting sqref="A1:G1048576">
    <cfRule type="expression" dxfId="58" priority="9">
      <formula>$D1=100</formula>
    </cfRule>
  </conditionalFormatting>
  <conditionalFormatting sqref="E1:E1048576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{F1CB155E-3FB5-40B3-BE39-ED16B6FD3BA8}</x14:id>
        </ext>
      </extLst>
    </cfRule>
  </conditionalFormatting>
  <conditionalFormatting sqref="G1:G1048576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{652C68B5-AC11-498A-B64E-9C5CC7A3BF92}</x14:id>
        </ext>
      </extLst>
    </cfRule>
  </conditionalFormatting>
  <hyperlinks>
    <hyperlink ref="C18" r:id="rId1" location="/learn/content"/>
    <hyperlink ref="C16" r:id="rId2"/>
    <hyperlink ref="C9" r:id="rId3" location="/learn/announce"/>
  </hyperlinks>
  <pageMargins left="0.69930555555555596" right="0.69930555555555596" top="0.75" bottom="0.75" header="0.3" footer="0.3"/>
  <pageSetup paperSize="9" orientation="portrait" r:id="rId4"/>
  <legacyDrawing r:id="rId5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CB155E-3FB5-40B3-BE39-ED16B6FD3BA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E1:E1048576</xm:sqref>
        </x14:conditionalFormatting>
        <x14:conditionalFormatting xmlns:xm="http://schemas.microsoft.com/office/excel/2006/main">
          <x14:cfRule type="dataBar" id="{652C68B5-AC11-498A-B64E-9C5CC7A3BF9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G1:G1048576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Z97"/>
  <sheetViews>
    <sheetView tabSelected="1" topLeftCell="A62" workbookViewId="0">
      <selection activeCell="D75" sqref="D75"/>
    </sheetView>
  </sheetViews>
  <sheetFormatPr defaultColWidth="9" defaultRowHeight="14.25" x14ac:dyDescent="0.2"/>
  <cols>
    <col min="1" max="1" width="11.5" style="25" customWidth="1"/>
    <col min="2" max="2" width="24.75" customWidth="1"/>
    <col min="3" max="3" width="10.25" style="36" bestFit="1" customWidth="1"/>
    <col min="4" max="4" width="11.875" style="35" customWidth="1"/>
    <col min="5" max="5" width="10.875" style="43" customWidth="1"/>
    <col min="6" max="6" width="10.25" style="1" bestFit="1" customWidth="1"/>
    <col min="7" max="7" width="9" style="1"/>
    <col min="8" max="8" width="19.875" style="51" customWidth="1"/>
    <col min="9" max="9" width="13.25" style="35" bestFit="1" customWidth="1"/>
    <col min="10" max="10" width="14.125" style="36" customWidth="1"/>
    <col min="11" max="11" width="13.25" bestFit="1" customWidth="1"/>
    <col min="12" max="12" width="6.25" bestFit="1" customWidth="1"/>
    <col min="13" max="13" width="9.625" bestFit="1" customWidth="1"/>
    <col min="14" max="14" width="32.25" bestFit="1" customWidth="1"/>
    <col min="15" max="15" width="22" bestFit="1" customWidth="1"/>
    <col min="16" max="16" width="31.5" bestFit="1" customWidth="1"/>
    <col min="17" max="17" width="19.75" bestFit="1" customWidth="1"/>
    <col min="18" max="18" width="17.625" bestFit="1" customWidth="1"/>
    <col min="19" max="19" width="60.25" bestFit="1" customWidth="1"/>
    <col min="20" max="20" width="30.875" bestFit="1" customWidth="1"/>
    <col min="21" max="21" width="13.75" bestFit="1" customWidth="1"/>
    <col min="22" max="22" width="27" bestFit="1" customWidth="1"/>
    <col min="23" max="23" width="8" customWidth="1"/>
    <col min="24" max="24" width="10.75" customWidth="1"/>
  </cols>
  <sheetData>
    <row r="1" spans="1:7" x14ac:dyDescent="0.2">
      <c r="A1" s="25" t="s">
        <v>31</v>
      </c>
      <c r="B1" t="s">
        <v>32</v>
      </c>
      <c r="C1" s="36" t="s">
        <v>0</v>
      </c>
      <c r="D1" s="37" t="s">
        <v>3</v>
      </c>
      <c r="E1" s="48" t="s">
        <v>155</v>
      </c>
      <c r="F1" s="1" t="s">
        <v>1</v>
      </c>
      <c r="G1" s="1" t="s">
        <v>2</v>
      </c>
    </row>
    <row r="2" spans="1:7" x14ac:dyDescent="0.2">
      <c r="A2" s="25">
        <v>42300</v>
      </c>
      <c r="B2" t="s">
        <v>8</v>
      </c>
      <c r="C2" s="36">
        <f t="shared" ref="C2:C50" ca="1" si="0">TODAY()-A2</f>
        <v>27</v>
      </c>
      <c r="D2" s="35">
        <v>4.1666666666666699E-2</v>
      </c>
    </row>
    <row r="3" spans="1:7" x14ac:dyDescent="0.2">
      <c r="A3" s="25">
        <v>42300</v>
      </c>
      <c r="B3" t="s">
        <v>12</v>
      </c>
      <c r="C3" s="36">
        <f t="shared" ca="1" si="0"/>
        <v>27</v>
      </c>
      <c r="D3" s="35">
        <v>6.25E-2</v>
      </c>
    </row>
    <row r="4" spans="1:7" x14ac:dyDescent="0.2">
      <c r="A4" s="25">
        <v>42301</v>
      </c>
      <c r="B4" t="s">
        <v>33</v>
      </c>
      <c r="C4" s="36">
        <f t="shared" ca="1" si="0"/>
        <v>26</v>
      </c>
      <c r="D4" s="35">
        <f>G4-F4</f>
        <v>0.100694444444444</v>
      </c>
      <c r="F4" s="1">
        <v>0</v>
      </c>
      <c r="G4" s="1">
        <v>0.100694444444444</v>
      </c>
    </row>
    <row r="5" spans="1:7" x14ac:dyDescent="0.2">
      <c r="A5" s="25">
        <v>42302</v>
      </c>
      <c r="B5" t="s">
        <v>22</v>
      </c>
      <c r="C5" s="36">
        <f t="shared" ca="1" si="0"/>
        <v>25</v>
      </c>
      <c r="D5" s="35">
        <f>G5-F5</f>
        <v>1.4583333333332948E-2</v>
      </c>
      <c r="F5" s="1">
        <v>0.53125</v>
      </c>
      <c r="G5" s="1">
        <v>0.54583333333333295</v>
      </c>
    </row>
    <row r="6" spans="1:7" x14ac:dyDescent="0.2">
      <c r="A6" s="25">
        <v>42303</v>
      </c>
      <c r="B6" t="s">
        <v>8</v>
      </c>
      <c r="C6" s="36">
        <f t="shared" ca="1" si="0"/>
        <v>24</v>
      </c>
      <c r="D6" s="35">
        <v>4.1666666666666699E-2</v>
      </c>
    </row>
    <row r="7" spans="1:7" x14ac:dyDescent="0.2">
      <c r="A7" s="25">
        <v>42303</v>
      </c>
      <c r="B7" t="s">
        <v>12</v>
      </c>
      <c r="C7" s="36">
        <f t="shared" ca="1" si="0"/>
        <v>24</v>
      </c>
      <c r="D7" s="35">
        <v>4.1666666666666664E-2</v>
      </c>
    </row>
    <row r="8" spans="1:7" x14ac:dyDescent="0.2">
      <c r="A8" s="25">
        <v>42304</v>
      </c>
      <c r="B8" t="s">
        <v>8</v>
      </c>
      <c r="C8" s="36">
        <f t="shared" ca="1" si="0"/>
        <v>23</v>
      </c>
      <c r="D8" s="35">
        <v>6.25E-2</v>
      </c>
    </row>
    <row r="9" spans="1:7" x14ac:dyDescent="0.2">
      <c r="A9" s="25">
        <v>42304</v>
      </c>
      <c r="B9" t="s">
        <v>24</v>
      </c>
      <c r="C9" s="36">
        <f t="shared" ca="1" si="0"/>
        <v>23</v>
      </c>
      <c r="D9" s="35">
        <v>2.0833333333333332E-2</v>
      </c>
    </row>
    <row r="10" spans="1:7" x14ac:dyDescent="0.2">
      <c r="A10" s="25">
        <v>42305</v>
      </c>
      <c r="B10" t="s">
        <v>8</v>
      </c>
      <c r="C10" s="36">
        <f t="shared" ca="1" si="0"/>
        <v>22</v>
      </c>
      <c r="D10" s="35">
        <v>3.125E-2</v>
      </c>
    </row>
    <row r="11" spans="1:7" x14ac:dyDescent="0.2">
      <c r="A11" s="25">
        <v>42305</v>
      </c>
      <c r="B11" t="s">
        <v>36</v>
      </c>
      <c r="C11" s="36">
        <f t="shared" ca="1" si="0"/>
        <v>22</v>
      </c>
      <c r="D11" s="35">
        <v>4.5138888888888888E-2</v>
      </c>
    </row>
    <row r="12" spans="1:7" x14ac:dyDescent="0.2">
      <c r="A12" s="25">
        <v>42306</v>
      </c>
      <c r="B12" t="s">
        <v>8</v>
      </c>
      <c r="C12" s="36">
        <f t="shared" ca="1" si="0"/>
        <v>21</v>
      </c>
      <c r="D12" s="35">
        <v>4.1666666666666664E-2</v>
      </c>
    </row>
    <row r="13" spans="1:7" x14ac:dyDescent="0.2">
      <c r="A13" s="25">
        <v>42307</v>
      </c>
      <c r="B13" t="s">
        <v>8</v>
      </c>
      <c r="C13" s="36">
        <f t="shared" ca="1" si="0"/>
        <v>20</v>
      </c>
      <c r="D13" s="35">
        <v>4.1666666666666664E-2</v>
      </c>
    </row>
    <row r="14" spans="1:7" x14ac:dyDescent="0.2">
      <c r="A14" s="25">
        <v>42308</v>
      </c>
      <c r="B14" t="s">
        <v>83</v>
      </c>
      <c r="C14" s="36">
        <f t="shared" ca="1" si="0"/>
        <v>19</v>
      </c>
      <c r="D14" s="35">
        <f>G14-F14</f>
        <v>3.6805555555555536E-2</v>
      </c>
      <c r="F14" s="1">
        <v>0.60902777777777783</v>
      </c>
      <c r="G14" s="1">
        <v>0.64583333333333337</v>
      </c>
    </row>
    <row r="15" spans="1:7" x14ac:dyDescent="0.2">
      <c r="A15" s="25">
        <v>42310</v>
      </c>
      <c r="B15" t="s">
        <v>86</v>
      </c>
      <c r="C15" s="36">
        <f t="shared" ca="1" si="0"/>
        <v>17</v>
      </c>
      <c r="D15" s="35">
        <v>3.125E-2</v>
      </c>
    </row>
    <row r="16" spans="1:7" x14ac:dyDescent="0.2">
      <c r="A16" s="25">
        <v>42311</v>
      </c>
      <c r="B16" t="s">
        <v>8</v>
      </c>
      <c r="C16" s="36">
        <f t="shared" ca="1" si="0"/>
        <v>16</v>
      </c>
      <c r="D16" s="35">
        <v>4.1666666666666664E-2</v>
      </c>
    </row>
    <row r="17" spans="1:7" x14ac:dyDescent="0.2">
      <c r="A17" s="25">
        <v>42311</v>
      </c>
      <c r="B17" t="s">
        <v>86</v>
      </c>
      <c r="C17" s="36">
        <f t="shared" ca="1" si="0"/>
        <v>16</v>
      </c>
      <c r="D17" s="35">
        <v>2.0833333333333332E-2</v>
      </c>
    </row>
    <row r="18" spans="1:7" x14ac:dyDescent="0.2">
      <c r="A18" s="25">
        <v>42312</v>
      </c>
      <c r="B18" t="s">
        <v>8</v>
      </c>
      <c r="C18" s="36">
        <f t="shared" ca="1" si="0"/>
        <v>15</v>
      </c>
      <c r="D18" s="35">
        <v>4.1666666666666664E-2</v>
      </c>
    </row>
    <row r="19" spans="1:7" x14ac:dyDescent="0.2">
      <c r="A19" s="25">
        <v>42312</v>
      </c>
      <c r="B19" t="s">
        <v>86</v>
      </c>
      <c r="C19" s="36">
        <f t="shared" ca="1" si="0"/>
        <v>15</v>
      </c>
      <c r="D19" s="35">
        <v>2.0833333333333332E-2</v>
      </c>
    </row>
    <row r="20" spans="1:7" x14ac:dyDescent="0.2">
      <c r="A20" s="25">
        <v>42312</v>
      </c>
      <c r="B20" t="s">
        <v>12</v>
      </c>
      <c r="C20" s="36">
        <f t="shared" ca="1" si="0"/>
        <v>15</v>
      </c>
      <c r="D20" s="35">
        <v>4.1666666666666664E-2</v>
      </c>
    </row>
    <row r="21" spans="1:7" x14ac:dyDescent="0.2">
      <c r="A21" s="25">
        <v>42312</v>
      </c>
      <c r="B21" t="s">
        <v>36</v>
      </c>
      <c r="C21" s="36">
        <f t="shared" ca="1" si="0"/>
        <v>15</v>
      </c>
      <c r="D21" s="35">
        <v>6.25E-2</v>
      </c>
    </row>
    <row r="22" spans="1:7" x14ac:dyDescent="0.2">
      <c r="A22" s="25">
        <v>42312</v>
      </c>
      <c r="B22" t="s">
        <v>104</v>
      </c>
      <c r="C22" s="36">
        <f t="shared" ca="1" si="0"/>
        <v>15</v>
      </c>
      <c r="D22" s="35">
        <f>G22-F22</f>
        <v>4.4444444444444509E-2</v>
      </c>
      <c r="F22" s="1">
        <v>0.82013888888888886</v>
      </c>
      <c r="G22" s="1">
        <v>0.86458333333333337</v>
      </c>
    </row>
    <row r="23" spans="1:7" x14ac:dyDescent="0.2">
      <c r="A23" s="25">
        <v>42313</v>
      </c>
      <c r="B23" t="s">
        <v>8</v>
      </c>
      <c r="C23" s="36">
        <f t="shared" ca="1" si="0"/>
        <v>14</v>
      </c>
      <c r="D23" s="35">
        <v>4.8611111111111112E-2</v>
      </c>
    </row>
    <row r="24" spans="1:7" x14ac:dyDescent="0.2">
      <c r="A24" s="25">
        <v>42313</v>
      </c>
      <c r="B24" t="s">
        <v>109</v>
      </c>
      <c r="C24" s="36">
        <f t="shared" ca="1" si="0"/>
        <v>14</v>
      </c>
      <c r="D24" s="35">
        <v>2.0833333333333332E-2</v>
      </c>
    </row>
    <row r="25" spans="1:7" x14ac:dyDescent="0.2">
      <c r="A25" s="25">
        <v>42313</v>
      </c>
      <c r="B25" t="s">
        <v>14</v>
      </c>
      <c r="C25" s="36">
        <f t="shared" ca="1" si="0"/>
        <v>14</v>
      </c>
      <c r="D25" s="35">
        <v>4.1666666666666664E-2</v>
      </c>
    </row>
    <row r="26" spans="1:7" x14ac:dyDescent="0.2">
      <c r="A26" s="25">
        <v>42314</v>
      </c>
      <c r="B26" t="s">
        <v>8</v>
      </c>
      <c r="C26" s="36">
        <f t="shared" ca="1" si="0"/>
        <v>13</v>
      </c>
      <c r="D26" s="35">
        <v>4.1666666666666664E-2</v>
      </c>
    </row>
    <row r="27" spans="1:7" x14ac:dyDescent="0.2">
      <c r="A27" s="25">
        <v>42314</v>
      </c>
      <c r="B27" t="s">
        <v>86</v>
      </c>
      <c r="C27" s="36">
        <f t="shared" ca="1" si="0"/>
        <v>13</v>
      </c>
      <c r="D27" s="35">
        <v>3.125E-2</v>
      </c>
    </row>
    <row r="28" spans="1:7" x14ac:dyDescent="0.2">
      <c r="A28" s="25">
        <v>42314</v>
      </c>
      <c r="B28" t="s">
        <v>14</v>
      </c>
      <c r="C28" s="36">
        <f t="shared" ca="1" si="0"/>
        <v>13</v>
      </c>
      <c r="D28" s="35">
        <v>4.1666666666666664E-2</v>
      </c>
    </row>
    <row r="29" spans="1:7" x14ac:dyDescent="0.2">
      <c r="A29" s="25">
        <v>42315</v>
      </c>
      <c r="B29" t="s">
        <v>109</v>
      </c>
      <c r="C29" s="36">
        <f t="shared" ca="1" si="0"/>
        <v>12</v>
      </c>
      <c r="D29" s="35">
        <v>2.0833333333333332E-2</v>
      </c>
    </row>
    <row r="30" spans="1:7" x14ac:dyDescent="0.2">
      <c r="A30" s="25">
        <v>42315</v>
      </c>
      <c r="B30" t="s">
        <v>14</v>
      </c>
      <c r="C30" s="36">
        <f t="shared" ca="1" si="0"/>
        <v>12</v>
      </c>
      <c r="D30" s="35">
        <v>0.10416666666666667</v>
      </c>
      <c r="E30" s="44"/>
    </row>
    <row r="31" spans="1:7" x14ac:dyDescent="0.2">
      <c r="A31" s="25">
        <v>42316</v>
      </c>
      <c r="B31" t="s">
        <v>12</v>
      </c>
      <c r="C31" s="36">
        <f t="shared" ca="1" si="0"/>
        <v>11</v>
      </c>
      <c r="D31" s="35">
        <v>3.125E-2</v>
      </c>
    </row>
    <row r="32" spans="1:7" x14ac:dyDescent="0.2">
      <c r="A32" s="25">
        <v>42316</v>
      </c>
      <c r="B32" t="s">
        <v>36</v>
      </c>
      <c r="C32" s="36">
        <f t="shared" ca="1" si="0"/>
        <v>11</v>
      </c>
      <c r="D32" s="35">
        <v>2.0833333333333332E-2</v>
      </c>
    </row>
    <row r="33" spans="1:5" x14ac:dyDescent="0.2">
      <c r="A33" s="25">
        <v>42316</v>
      </c>
      <c r="B33" t="s">
        <v>109</v>
      </c>
      <c r="C33" s="36">
        <f t="shared" ca="1" si="0"/>
        <v>11</v>
      </c>
      <c r="D33" s="35">
        <v>3.125E-2</v>
      </c>
      <c r="E33" s="44" t="s">
        <v>114</v>
      </c>
    </row>
    <row r="34" spans="1:5" x14ac:dyDescent="0.2">
      <c r="A34" s="25">
        <v>42317</v>
      </c>
      <c r="B34" t="s">
        <v>14</v>
      </c>
      <c r="C34" s="36">
        <f t="shared" ca="1" si="0"/>
        <v>10</v>
      </c>
      <c r="D34" s="38">
        <v>4.1666666666666664E-2</v>
      </c>
    </row>
    <row r="35" spans="1:5" x14ac:dyDescent="0.2">
      <c r="A35" s="25">
        <v>42317</v>
      </c>
      <c r="B35" t="s">
        <v>8</v>
      </c>
      <c r="C35" s="36">
        <f t="shared" ca="1" si="0"/>
        <v>10</v>
      </c>
      <c r="D35" s="35">
        <v>4.1666666666666664E-2</v>
      </c>
    </row>
    <row r="36" spans="1:5" x14ac:dyDescent="0.2">
      <c r="A36" s="25">
        <v>42317</v>
      </c>
      <c r="B36" t="s">
        <v>86</v>
      </c>
      <c r="C36" s="36">
        <f t="shared" ca="1" si="0"/>
        <v>10</v>
      </c>
      <c r="D36" s="35">
        <v>2.0833333333333332E-2</v>
      </c>
    </row>
    <row r="37" spans="1:5" x14ac:dyDescent="0.2">
      <c r="A37" s="25">
        <v>42317</v>
      </c>
      <c r="B37" t="s">
        <v>117</v>
      </c>
      <c r="C37" s="36">
        <f t="shared" ca="1" si="0"/>
        <v>10</v>
      </c>
      <c r="D37" s="35">
        <v>5.2083333333333336E-2</v>
      </c>
    </row>
    <row r="38" spans="1:5" ht="15.75" customHeight="1" x14ac:dyDescent="0.2">
      <c r="A38" s="25">
        <v>42318</v>
      </c>
      <c r="B38" t="s">
        <v>8</v>
      </c>
      <c r="C38" s="36">
        <f t="shared" ca="1" si="0"/>
        <v>9</v>
      </c>
      <c r="D38" s="35">
        <v>2.0833333333333332E-2</v>
      </c>
      <c r="E38" s="47" t="s">
        <v>122</v>
      </c>
    </row>
    <row r="39" spans="1:5" x14ac:dyDescent="0.2">
      <c r="A39" s="25">
        <v>42318</v>
      </c>
      <c r="B39" t="s">
        <v>86</v>
      </c>
      <c r="C39" s="36">
        <f t="shared" ca="1" si="0"/>
        <v>9</v>
      </c>
      <c r="D39" s="35">
        <v>2.0833333333333332E-2</v>
      </c>
    </row>
    <row r="40" spans="1:5" x14ac:dyDescent="0.2">
      <c r="A40" s="25">
        <v>42319</v>
      </c>
      <c r="B40" t="s">
        <v>130</v>
      </c>
      <c r="C40" s="36">
        <f t="shared" ca="1" si="0"/>
        <v>8</v>
      </c>
      <c r="D40" s="35">
        <v>4.1666666666666664E-2</v>
      </c>
    </row>
    <row r="41" spans="1:5" x14ac:dyDescent="0.2">
      <c r="A41" s="25">
        <v>42319</v>
      </c>
      <c r="B41" t="s">
        <v>117</v>
      </c>
      <c r="C41" s="36">
        <f t="shared" ca="1" si="0"/>
        <v>8</v>
      </c>
      <c r="D41" s="35">
        <v>3.125E-2</v>
      </c>
    </row>
    <row r="42" spans="1:5" x14ac:dyDescent="0.2">
      <c r="A42" s="25">
        <v>42320</v>
      </c>
      <c r="B42" t="s">
        <v>117</v>
      </c>
      <c r="C42" s="36">
        <f t="shared" ca="1" si="0"/>
        <v>7</v>
      </c>
      <c r="D42" s="35">
        <v>4.1666666666666664E-2</v>
      </c>
    </row>
    <row r="43" spans="1:5" x14ac:dyDescent="0.2">
      <c r="A43" s="25">
        <v>42320</v>
      </c>
      <c r="B43" t="s">
        <v>86</v>
      </c>
      <c r="C43" s="36">
        <f t="shared" ca="1" si="0"/>
        <v>7</v>
      </c>
      <c r="D43" s="35">
        <v>2.7777777777777776E-2</v>
      </c>
    </row>
    <row r="44" spans="1:5" x14ac:dyDescent="0.2">
      <c r="A44" s="25">
        <v>42321</v>
      </c>
      <c r="B44" t="s">
        <v>117</v>
      </c>
      <c r="C44" s="36">
        <f t="shared" ca="1" si="0"/>
        <v>6</v>
      </c>
      <c r="D44" s="35">
        <v>4.8611111111111112E-2</v>
      </c>
    </row>
    <row r="45" spans="1:5" x14ac:dyDescent="0.2">
      <c r="A45" s="25">
        <v>42321</v>
      </c>
      <c r="B45" t="s">
        <v>86</v>
      </c>
      <c r="C45" s="36">
        <f t="shared" ca="1" si="0"/>
        <v>6</v>
      </c>
      <c r="D45" s="35">
        <v>2.0833333333333332E-2</v>
      </c>
    </row>
    <row r="46" spans="1:5" x14ac:dyDescent="0.2">
      <c r="A46" s="25">
        <v>42323</v>
      </c>
      <c r="B46" t="s">
        <v>153</v>
      </c>
      <c r="C46" s="36">
        <f t="shared" ca="1" si="0"/>
        <v>4</v>
      </c>
      <c r="D46" s="35">
        <v>8.3333333333333329E-2</v>
      </c>
    </row>
    <row r="47" spans="1:5" x14ac:dyDescent="0.2">
      <c r="A47" s="25">
        <v>42324</v>
      </c>
      <c r="B47" t="s">
        <v>86</v>
      </c>
      <c r="C47" s="36">
        <f t="shared" ca="1" si="0"/>
        <v>3</v>
      </c>
      <c r="D47" s="35">
        <v>2.0833333333333332E-2</v>
      </c>
    </row>
    <row r="48" spans="1:5" x14ac:dyDescent="0.2">
      <c r="A48" s="25">
        <v>42324</v>
      </c>
      <c r="B48" t="s">
        <v>130</v>
      </c>
      <c r="C48" s="36">
        <f t="shared" ca="1" si="0"/>
        <v>3</v>
      </c>
      <c r="D48" s="35">
        <v>4.1666666666666664E-2</v>
      </c>
    </row>
    <row r="49" spans="1:4" x14ac:dyDescent="0.2">
      <c r="A49" s="25">
        <v>42324</v>
      </c>
      <c r="B49" t="s">
        <v>117</v>
      </c>
      <c r="C49" s="36">
        <f t="shared" ca="1" si="0"/>
        <v>3</v>
      </c>
      <c r="D49" s="35">
        <v>2.0833333333333332E-2</v>
      </c>
    </row>
    <row r="50" spans="1:4" x14ac:dyDescent="0.2">
      <c r="A50" s="25">
        <v>42324</v>
      </c>
      <c r="B50" t="s">
        <v>153</v>
      </c>
      <c r="C50" s="36">
        <f t="shared" ca="1" si="0"/>
        <v>3</v>
      </c>
      <c r="D50" s="35">
        <v>4.1666666666666664E-2</v>
      </c>
    </row>
    <row r="51" spans="1:4" x14ac:dyDescent="0.2">
      <c r="A51" s="25">
        <v>42324</v>
      </c>
      <c r="B51" t="s">
        <v>153</v>
      </c>
      <c r="C51" s="36">
        <f t="shared" ref="C51:C59" ca="1" si="1">TODAY()-A51</f>
        <v>3</v>
      </c>
      <c r="D51" s="35">
        <v>2.0833333333333332E-2</v>
      </c>
    </row>
    <row r="52" spans="1:4" x14ac:dyDescent="0.2">
      <c r="A52" s="25">
        <v>42325</v>
      </c>
      <c r="B52" t="s">
        <v>117</v>
      </c>
      <c r="C52" s="36">
        <f t="shared" ca="1" si="1"/>
        <v>2</v>
      </c>
      <c r="D52" s="35">
        <v>3.125E-2</v>
      </c>
    </row>
    <row r="53" spans="1:4" x14ac:dyDescent="0.2">
      <c r="A53" s="25">
        <v>42325</v>
      </c>
      <c r="B53" t="s">
        <v>86</v>
      </c>
      <c r="C53" s="36">
        <f t="shared" ca="1" si="1"/>
        <v>2</v>
      </c>
      <c r="D53" s="35">
        <v>2.0833333333333332E-2</v>
      </c>
    </row>
    <row r="54" spans="1:4" x14ac:dyDescent="0.2">
      <c r="A54" s="25">
        <v>42325</v>
      </c>
      <c r="B54" t="s">
        <v>130</v>
      </c>
      <c r="C54" s="36">
        <f t="shared" ca="1" si="1"/>
        <v>2</v>
      </c>
      <c r="D54" s="35">
        <v>3.125E-2</v>
      </c>
    </row>
    <row r="55" spans="1:4" x14ac:dyDescent="0.2">
      <c r="A55" s="25">
        <v>42325</v>
      </c>
      <c r="B55" t="s">
        <v>159</v>
      </c>
      <c r="C55" s="36">
        <f t="shared" ca="1" si="1"/>
        <v>2</v>
      </c>
      <c r="D55" s="35">
        <v>4.1666666666666664E-2</v>
      </c>
    </row>
    <row r="56" spans="1:4" x14ac:dyDescent="0.2">
      <c r="A56" s="25">
        <v>42326</v>
      </c>
      <c r="B56" t="s">
        <v>117</v>
      </c>
      <c r="C56" s="36">
        <f t="shared" ca="1" si="1"/>
        <v>1</v>
      </c>
      <c r="D56" s="35">
        <v>3.125E-2</v>
      </c>
    </row>
    <row r="57" spans="1:4" x14ac:dyDescent="0.2">
      <c r="A57" s="25">
        <v>42326</v>
      </c>
      <c r="B57" t="s">
        <v>86</v>
      </c>
      <c r="C57" s="36">
        <f t="shared" ca="1" si="1"/>
        <v>1</v>
      </c>
      <c r="D57" s="35">
        <v>2.0833333333333332E-2</v>
      </c>
    </row>
    <row r="58" spans="1:4" x14ac:dyDescent="0.2">
      <c r="A58" s="25">
        <v>42326</v>
      </c>
      <c r="B58" t="s">
        <v>153</v>
      </c>
      <c r="C58" s="36">
        <f t="shared" ca="1" si="1"/>
        <v>1</v>
      </c>
      <c r="D58" s="35">
        <v>2.0833333333333332E-2</v>
      </c>
    </row>
    <row r="59" spans="1:4" x14ac:dyDescent="0.2">
      <c r="A59" s="25">
        <v>42327</v>
      </c>
      <c r="B59" t="s">
        <v>153</v>
      </c>
      <c r="C59" s="36">
        <f t="shared" ca="1" si="1"/>
        <v>0</v>
      </c>
      <c r="D59" s="35">
        <v>5.2083333333333336E-2</v>
      </c>
    </row>
    <row r="69" spans="1:26" x14ac:dyDescent="0.2">
      <c r="G69" s="60" t="s">
        <v>119</v>
      </c>
      <c r="H69" s="36" t="s">
        <v>120</v>
      </c>
      <c r="I69" s="36"/>
    </row>
    <row r="70" spans="1:26" x14ac:dyDescent="0.2">
      <c r="G70" s="35">
        <f ca="1">SUMIF(C:C,0,D:D)</f>
        <v>5.2083333333333336E-2</v>
      </c>
      <c r="H70" s="39" t="str">
        <f ca="1">INDEX(学习总体!C:C,RANDBETWEEN(2,COUNTIF(学习总体!D:D,学习总体!D5)+1))</f>
        <v>[王佩丰]Excel2010数据透视表视频教程</v>
      </c>
      <c r="I70" s="36"/>
    </row>
    <row r="72" spans="1:26" s="53" customFormat="1" x14ac:dyDescent="0.2">
      <c r="A72" s="52"/>
      <c r="B72" s="49" t="s">
        <v>156</v>
      </c>
      <c r="C72" s="58" t="s">
        <v>147</v>
      </c>
      <c r="D72" s="50"/>
      <c r="E72" s="50"/>
      <c r="F72" s="50"/>
      <c r="G72" s="50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</row>
    <row r="73" spans="1:26" s="54" customFormat="1" x14ac:dyDescent="0.2">
      <c r="B73" s="55" t="s">
        <v>145</v>
      </c>
      <c r="C73" s="57">
        <v>42327</v>
      </c>
      <c r="D73" s="56">
        <v>42326</v>
      </c>
      <c r="E73" s="56">
        <v>42325</v>
      </c>
      <c r="F73" s="56">
        <v>42324</v>
      </c>
      <c r="G73" s="56">
        <v>42323</v>
      </c>
    </row>
    <row r="74" spans="1:26" x14ac:dyDescent="0.2">
      <c r="B74" s="59" t="s">
        <v>130</v>
      </c>
      <c r="C74" s="35"/>
      <c r="E74" s="35">
        <v>3.125E-2</v>
      </c>
      <c r="F74" s="35">
        <v>4.1666666666666664E-2</v>
      </c>
      <c r="G74" s="35"/>
      <c r="H74"/>
      <c r="I74"/>
      <c r="J74"/>
    </row>
    <row r="75" spans="1:26" x14ac:dyDescent="0.2">
      <c r="B75" s="59" t="s">
        <v>153</v>
      </c>
      <c r="C75" s="35">
        <v>5.2083333333333336E-2</v>
      </c>
      <c r="D75" s="35">
        <v>2.0833333333333332E-2</v>
      </c>
      <c r="E75" s="35"/>
      <c r="F75" s="35">
        <v>6.25E-2</v>
      </c>
      <c r="G75" s="35">
        <v>8.3333333333333329E-2</v>
      </c>
      <c r="H75"/>
      <c r="I75"/>
      <c r="J75"/>
    </row>
    <row r="76" spans="1:26" x14ac:dyDescent="0.2">
      <c r="B76" s="59" t="s">
        <v>117</v>
      </c>
      <c r="C76" s="35"/>
      <c r="D76" s="35">
        <v>3.125E-2</v>
      </c>
      <c r="E76" s="35">
        <v>3.125E-2</v>
      </c>
      <c r="F76" s="35">
        <v>2.0833333333333332E-2</v>
      </c>
      <c r="G76" s="35"/>
      <c r="H76"/>
      <c r="I76"/>
      <c r="J76"/>
    </row>
    <row r="77" spans="1:26" x14ac:dyDescent="0.2">
      <c r="B77" s="59" t="s">
        <v>86</v>
      </c>
      <c r="C77" s="35"/>
      <c r="D77" s="35">
        <v>2.0833333333333332E-2</v>
      </c>
      <c r="E77" s="35">
        <v>2.0833333333333332E-2</v>
      </c>
      <c r="F77" s="35">
        <v>2.0833333333333332E-2</v>
      </c>
      <c r="G77" s="35"/>
      <c r="H77"/>
      <c r="I77"/>
      <c r="J77"/>
    </row>
    <row r="78" spans="1:26" x14ac:dyDescent="0.2">
      <c r="B78" s="59" t="s">
        <v>159</v>
      </c>
      <c r="C78" s="35"/>
      <c r="E78" s="35">
        <v>4.1666666666666664E-2</v>
      </c>
      <c r="F78" s="35"/>
      <c r="G78" s="35"/>
      <c r="H78"/>
      <c r="I78"/>
      <c r="J78"/>
    </row>
    <row r="79" spans="1:26" x14ac:dyDescent="0.2">
      <c r="B79" s="51" t="s">
        <v>146</v>
      </c>
      <c r="C79" s="35">
        <v>5.2083333333333336E-2</v>
      </c>
      <c r="D79" s="35">
        <v>7.2916666666666657E-2</v>
      </c>
      <c r="E79" s="35">
        <v>0.125</v>
      </c>
      <c r="F79" s="35">
        <v>0.14583333333333331</v>
      </c>
      <c r="G79" s="35">
        <v>8.3333333333333329E-2</v>
      </c>
      <c r="H79"/>
      <c r="I79"/>
      <c r="J79"/>
    </row>
    <row r="80" spans="1:26" x14ac:dyDescent="0.2">
      <c r="C80"/>
      <c r="D80"/>
      <c r="E80"/>
      <c r="F80"/>
      <c r="G80"/>
      <c r="H80"/>
      <c r="I80"/>
      <c r="J80"/>
    </row>
    <row r="81" spans="3:10" x14ac:dyDescent="0.2">
      <c r="C81"/>
      <c r="D81"/>
      <c r="E81"/>
      <c r="F81"/>
      <c r="G81"/>
      <c r="H81"/>
      <c r="I81"/>
      <c r="J81"/>
    </row>
    <row r="82" spans="3:10" x14ac:dyDescent="0.2">
      <c r="C82"/>
      <c r="D82"/>
      <c r="E82"/>
      <c r="F82"/>
      <c r="G82"/>
      <c r="H82"/>
      <c r="I82"/>
      <c r="J82"/>
    </row>
    <row r="83" spans="3:10" x14ac:dyDescent="0.2">
      <c r="C83"/>
      <c r="D83"/>
      <c r="E83"/>
      <c r="F83"/>
      <c r="G83"/>
      <c r="H83"/>
      <c r="I83"/>
      <c r="J83"/>
    </row>
    <row r="84" spans="3:10" x14ac:dyDescent="0.2">
      <c r="C84"/>
      <c r="D84"/>
      <c r="E84"/>
      <c r="F84"/>
      <c r="G84"/>
      <c r="H84"/>
      <c r="I84"/>
      <c r="J84"/>
    </row>
    <row r="85" spans="3:10" x14ac:dyDescent="0.2">
      <c r="C85"/>
      <c r="D85"/>
      <c r="E85"/>
      <c r="F85"/>
      <c r="G85"/>
      <c r="H85"/>
      <c r="I85"/>
      <c r="J85"/>
    </row>
    <row r="86" spans="3:10" x14ac:dyDescent="0.2">
      <c r="C86"/>
      <c r="D86"/>
      <c r="E86"/>
      <c r="F86"/>
      <c r="G86"/>
      <c r="H86"/>
      <c r="I86"/>
      <c r="J86"/>
    </row>
    <row r="87" spans="3:10" x14ac:dyDescent="0.2">
      <c r="C87"/>
      <c r="D87"/>
      <c r="E87"/>
      <c r="F87"/>
      <c r="G87"/>
      <c r="H87"/>
      <c r="I87"/>
      <c r="J87"/>
    </row>
    <row r="88" spans="3:10" x14ac:dyDescent="0.2">
      <c r="C88"/>
      <c r="D88"/>
      <c r="E88"/>
      <c r="F88"/>
      <c r="G88"/>
      <c r="H88"/>
      <c r="I88"/>
      <c r="J88"/>
    </row>
    <row r="89" spans="3:10" x14ac:dyDescent="0.2">
      <c r="I89"/>
      <c r="J89"/>
    </row>
    <row r="90" spans="3:10" x14ac:dyDescent="0.2">
      <c r="I90"/>
      <c r="J90"/>
    </row>
    <row r="91" spans="3:10" x14ac:dyDescent="0.2">
      <c r="I91"/>
      <c r="J91"/>
    </row>
    <row r="92" spans="3:10" x14ac:dyDescent="0.2">
      <c r="I92"/>
      <c r="J92"/>
    </row>
    <row r="93" spans="3:10" x14ac:dyDescent="0.2">
      <c r="I93"/>
      <c r="J93"/>
    </row>
    <row r="94" spans="3:10" x14ac:dyDescent="0.2">
      <c r="I94"/>
      <c r="J94"/>
    </row>
    <row r="95" spans="3:10" x14ac:dyDescent="0.2">
      <c r="I95"/>
      <c r="J95"/>
    </row>
    <row r="96" spans="3:10" x14ac:dyDescent="0.2">
      <c r="I96"/>
      <c r="J96"/>
    </row>
    <row r="97" spans="9:10" x14ac:dyDescent="0.2">
      <c r="I97"/>
      <c r="J97"/>
    </row>
  </sheetData>
  <phoneticPr fontId="4" type="noConversion"/>
  <conditionalFormatting sqref="A1:G68 A72:A78 G72:G73 A71:G71 A69:F70 A79:B88 A89:G1048576">
    <cfRule type="expression" dxfId="57" priority="1">
      <formula>$A1=TODAY()-1</formula>
    </cfRule>
    <cfRule type="expression" dxfId="56" priority="2">
      <formula>$A1=TODAY()</formula>
    </cfRule>
  </conditionalFormatting>
  <pageMargins left="0.75" right="0.75" top="1" bottom="1" header="0.51180555555555596" footer="0.51180555555555596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学习总体!$C:$C</xm:f>
          </x14:formula1>
          <xm:sqref>B1:B71 B89:B1048576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O35"/>
  <sheetViews>
    <sheetView topLeftCell="A5" workbookViewId="0">
      <selection activeCell="D16" sqref="D16"/>
    </sheetView>
  </sheetViews>
  <sheetFormatPr defaultRowHeight="14.25" x14ac:dyDescent="0.2"/>
  <cols>
    <col min="1" max="1" width="18.375" style="42" bestFit="1" customWidth="1"/>
    <col min="3" max="3" width="9" style="46"/>
    <col min="4" max="4" width="9" style="43"/>
    <col min="6" max="6" width="16.5" customWidth="1"/>
    <col min="7" max="7" width="9.125" style="43" customWidth="1"/>
    <col min="8" max="8" width="5.25" customWidth="1"/>
    <col min="9" max="10" width="9" customWidth="1"/>
    <col min="11" max="11" width="5.25" customWidth="1"/>
    <col min="12" max="12" width="5.75" customWidth="1"/>
    <col min="13" max="14" width="9.75" bestFit="1" customWidth="1"/>
    <col min="15" max="15" width="5.75" customWidth="1"/>
  </cols>
  <sheetData>
    <row r="1" spans="1:15" x14ac:dyDescent="0.2">
      <c r="A1" s="41" t="s">
        <v>136</v>
      </c>
      <c r="B1" s="40" t="s">
        <v>135</v>
      </c>
      <c r="C1" s="46" t="s">
        <v>152</v>
      </c>
      <c r="D1" s="44" t="s">
        <v>137</v>
      </c>
    </row>
    <row r="2" spans="1:15" x14ac:dyDescent="0.2">
      <c r="A2" s="42">
        <v>42323.902083333334</v>
      </c>
      <c r="B2" t="s">
        <v>140</v>
      </c>
      <c r="C2" s="46">
        <f ca="1">ROUNDUP(TODAY()-A2,0)</f>
        <v>4</v>
      </c>
      <c r="D2" s="43">
        <v>30</v>
      </c>
    </row>
    <row r="3" spans="1:15" x14ac:dyDescent="0.2">
      <c r="A3" s="42">
        <v>42323.90347222222</v>
      </c>
      <c r="B3" t="s">
        <v>141</v>
      </c>
      <c r="C3" s="46">
        <f t="shared" ref="C3:C16" ca="1" si="0">ROUNDUP(TODAY()-A3,0)</f>
        <v>4</v>
      </c>
      <c r="D3" s="43">
        <v>50</v>
      </c>
    </row>
    <row r="4" spans="1:15" x14ac:dyDescent="0.2">
      <c r="A4" s="42">
        <v>42323.904860995368</v>
      </c>
      <c r="B4" t="s">
        <v>138</v>
      </c>
      <c r="C4" s="46">
        <f t="shared" ca="1" si="0"/>
        <v>4</v>
      </c>
      <c r="D4" s="43">
        <v>13</v>
      </c>
    </row>
    <row r="5" spans="1:15" x14ac:dyDescent="0.2">
      <c r="A5" s="42">
        <v>42323.906249826388</v>
      </c>
      <c r="B5" t="s">
        <v>139</v>
      </c>
      <c r="C5" s="46">
        <f t="shared" ca="1" si="0"/>
        <v>4</v>
      </c>
      <c r="D5" s="43">
        <v>10</v>
      </c>
    </row>
    <row r="6" spans="1:15" x14ac:dyDescent="0.2">
      <c r="A6" s="42">
        <v>42323.907638657409</v>
      </c>
      <c r="B6" t="s">
        <v>140</v>
      </c>
      <c r="C6" s="46">
        <f t="shared" ca="1" si="0"/>
        <v>4</v>
      </c>
      <c r="D6" s="43">
        <v>30</v>
      </c>
    </row>
    <row r="7" spans="1:15" x14ac:dyDescent="0.2">
      <c r="A7" s="42">
        <v>42323.909027488429</v>
      </c>
      <c r="B7" t="s">
        <v>141</v>
      </c>
      <c r="C7" s="46">
        <f t="shared" ca="1" si="0"/>
        <v>4</v>
      </c>
      <c r="D7" s="43">
        <v>45</v>
      </c>
    </row>
    <row r="8" spans="1:15" x14ac:dyDescent="0.2">
      <c r="A8" s="42">
        <v>42323.918055555558</v>
      </c>
      <c r="B8" t="s">
        <v>138</v>
      </c>
      <c r="C8" s="46">
        <f t="shared" ca="1" si="0"/>
        <v>4</v>
      </c>
      <c r="D8" s="43">
        <v>20</v>
      </c>
    </row>
    <row r="9" spans="1:15" x14ac:dyDescent="0.2">
      <c r="A9" s="42">
        <v>42323.925000000003</v>
      </c>
      <c r="B9" t="s">
        <v>139</v>
      </c>
      <c r="C9" s="46">
        <f t="shared" ca="1" si="0"/>
        <v>4</v>
      </c>
      <c r="D9" s="43">
        <v>15</v>
      </c>
    </row>
    <row r="10" spans="1:15" x14ac:dyDescent="0.2">
      <c r="A10" s="42">
        <v>42325</v>
      </c>
      <c r="B10" t="s">
        <v>139</v>
      </c>
      <c r="C10" s="46">
        <f t="shared" ca="1" si="0"/>
        <v>2</v>
      </c>
      <c r="D10" s="43">
        <v>20</v>
      </c>
    </row>
    <row r="11" spans="1:15" x14ac:dyDescent="0.2">
      <c r="A11" s="42">
        <v>42325</v>
      </c>
      <c r="B11" t="s">
        <v>139</v>
      </c>
      <c r="C11" s="46">
        <f t="shared" ca="1" si="0"/>
        <v>2</v>
      </c>
      <c r="D11" s="43">
        <v>15</v>
      </c>
    </row>
    <row r="12" spans="1:15" x14ac:dyDescent="0.2">
      <c r="A12" s="42">
        <v>42325.993055555555</v>
      </c>
      <c r="B12" t="s">
        <v>141</v>
      </c>
      <c r="C12" s="46">
        <f t="shared" ca="1" si="0"/>
        <v>2</v>
      </c>
      <c r="D12" s="43">
        <v>35</v>
      </c>
    </row>
    <row r="13" spans="1:15" x14ac:dyDescent="0.2">
      <c r="A13" s="42">
        <v>42325.993055555555</v>
      </c>
      <c r="B13" t="s">
        <v>138</v>
      </c>
      <c r="C13" s="46">
        <f t="shared" ca="1" si="0"/>
        <v>2</v>
      </c>
      <c r="D13" s="43">
        <v>20</v>
      </c>
    </row>
    <row r="14" spans="1:15" x14ac:dyDescent="0.2">
      <c r="A14" s="42">
        <v>42325.993055555555</v>
      </c>
      <c r="B14" t="s">
        <v>139</v>
      </c>
      <c r="C14" s="46">
        <f t="shared" ca="1" si="0"/>
        <v>2</v>
      </c>
      <c r="D14" s="43">
        <v>15</v>
      </c>
    </row>
    <row r="15" spans="1:15" x14ac:dyDescent="0.2">
      <c r="A15" s="42">
        <v>42325.993055555555</v>
      </c>
      <c r="B15" t="s">
        <v>140</v>
      </c>
      <c r="C15" s="46">
        <f t="shared" ca="1" si="0"/>
        <v>2</v>
      </c>
      <c r="D15" s="43">
        <v>35</v>
      </c>
      <c r="J15" s="43"/>
      <c r="K15" s="43"/>
      <c r="L15" s="43"/>
      <c r="M15" s="43"/>
      <c r="N15" s="43"/>
      <c r="O15" s="43"/>
    </row>
    <row r="16" spans="1:15" x14ac:dyDescent="0.2">
      <c r="A16" s="42">
        <v>42326.709027777775</v>
      </c>
      <c r="B16" t="s">
        <v>161</v>
      </c>
      <c r="C16" s="46">
        <f t="shared" ca="1" si="0"/>
        <v>1</v>
      </c>
      <c r="D16" s="43">
        <v>1</v>
      </c>
      <c r="J16" s="43"/>
      <c r="K16" s="43"/>
      <c r="L16" s="43"/>
      <c r="M16" s="43"/>
      <c r="N16" s="43"/>
      <c r="O16" s="43"/>
    </row>
    <row r="17" spans="6:15" x14ac:dyDescent="0.2">
      <c r="J17" s="39"/>
      <c r="K17" s="43"/>
      <c r="L17" s="43"/>
      <c r="M17" s="43"/>
      <c r="N17" s="43"/>
      <c r="O17" s="43"/>
    </row>
    <row r="18" spans="6:15" x14ac:dyDescent="0.2">
      <c r="F18" s="45" t="s">
        <v>148</v>
      </c>
      <c r="G18" s="45" t="s">
        <v>147</v>
      </c>
      <c r="H18" s="43"/>
      <c r="I18" s="43"/>
      <c r="J18" s="43"/>
      <c r="K18" s="43"/>
      <c r="L18" s="43"/>
      <c r="M18" s="43"/>
      <c r="N18" s="43"/>
      <c r="O18" s="43"/>
    </row>
    <row r="19" spans="6:15" x14ac:dyDescent="0.2">
      <c r="F19" s="45" t="s">
        <v>145</v>
      </c>
      <c r="G19" s="43" t="s">
        <v>139</v>
      </c>
      <c r="H19" s="43" t="s">
        <v>140</v>
      </c>
      <c r="I19" s="43" t="s">
        <v>141</v>
      </c>
      <c r="J19" s="43" t="s">
        <v>138</v>
      </c>
      <c r="K19" s="43" t="s">
        <v>161</v>
      </c>
      <c r="L19" s="43" t="s">
        <v>146</v>
      </c>
    </row>
    <row r="20" spans="6:15" x14ac:dyDescent="0.2">
      <c r="F20" s="39" t="s">
        <v>149</v>
      </c>
      <c r="G20" s="43">
        <v>25</v>
      </c>
      <c r="H20" s="43">
        <v>60</v>
      </c>
      <c r="I20" s="43">
        <v>95</v>
      </c>
      <c r="J20" s="43">
        <v>33</v>
      </c>
      <c r="K20" s="43"/>
      <c r="L20" s="43">
        <v>213</v>
      </c>
    </row>
    <row r="21" spans="6:15" x14ac:dyDescent="0.2">
      <c r="F21" s="39" t="s">
        <v>157</v>
      </c>
      <c r="G21" s="43">
        <v>50</v>
      </c>
      <c r="H21" s="43">
        <v>35</v>
      </c>
      <c r="I21" s="43">
        <v>35</v>
      </c>
      <c r="J21" s="43">
        <v>20</v>
      </c>
      <c r="K21" s="43"/>
      <c r="L21" s="43">
        <v>140</v>
      </c>
    </row>
    <row r="22" spans="6:15" x14ac:dyDescent="0.2">
      <c r="F22" s="39" t="s">
        <v>162</v>
      </c>
      <c r="H22" s="43"/>
      <c r="I22" s="43"/>
      <c r="J22" s="43"/>
      <c r="K22" s="43">
        <v>1</v>
      </c>
      <c r="L22" s="43">
        <v>1</v>
      </c>
    </row>
    <row r="23" spans="6:15" x14ac:dyDescent="0.2">
      <c r="F23" s="39" t="s">
        <v>146</v>
      </c>
      <c r="G23" s="43">
        <v>75</v>
      </c>
      <c r="H23" s="43">
        <v>95</v>
      </c>
      <c r="I23" s="43">
        <v>130</v>
      </c>
      <c r="J23" s="43">
        <v>53</v>
      </c>
      <c r="K23" s="43">
        <v>1</v>
      </c>
      <c r="L23" s="43">
        <v>354</v>
      </c>
    </row>
    <row r="24" spans="6:15" x14ac:dyDescent="0.2">
      <c r="G24"/>
    </row>
    <row r="25" spans="6:15" x14ac:dyDescent="0.2">
      <c r="G25"/>
    </row>
    <row r="26" spans="6:15" x14ac:dyDescent="0.2">
      <c r="G26"/>
    </row>
    <row r="27" spans="6:15" x14ac:dyDescent="0.2">
      <c r="G27"/>
    </row>
    <row r="28" spans="6:15" x14ac:dyDescent="0.2">
      <c r="G28"/>
    </row>
    <row r="29" spans="6:15" x14ac:dyDescent="0.2">
      <c r="G29"/>
    </row>
    <row r="30" spans="6:15" x14ac:dyDescent="0.2">
      <c r="G30"/>
    </row>
    <row r="31" spans="6:15" x14ac:dyDescent="0.2">
      <c r="G31"/>
    </row>
    <row r="32" spans="6:15" x14ac:dyDescent="0.2">
      <c r="G32"/>
    </row>
    <row r="33" spans="7:7" x14ac:dyDescent="0.2">
      <c r="G33"/>
    </row>
    <row r="34" spans="7:7" x14ac:dyDescent="0.2">
      <c r="G34"/>
    </row>
    <row r="35" spans="7:7" x14ac:dyDescent="0.2">
      <c r="G35"/>
    </row>
  </sheetData>
  <phoneticPr fontId="10" type="noConversion"/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运动!$B:$B</xm:f>
          </x14:formula1>
          <xm:sqref>B1:B1048576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项目</vt:lpstr>
      <vt:lpstr>运动</vt:lpstr>
      <vt:lpstr>学习总体</vt:lpstr>
      <vt:lpstr>学习记录</vt:lpstr>
      <vt:lpstr>运动记录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zheng Guan</dc:creator>
  <cp:lastModifiedBy>zheng Guan</cp:lastModifiedBy>
  <dcterms:created xsi:type="dcterms:W3CDTF">2015-10-12T12:56:00Z</dcterms:created>
  <dcterms:modified xsi:type="dcterms:W3CDTF">2015-11-18T16:57:45Z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2052-9.1.0.5218</vt:lpwstr>
  </property>
  <property fmtid="{D5CDD505-2E9C-101B-9397-08002B2CF9AE}" pid="3" name="WorkbookGuid">
    <vt:lpwstr>3c041983-93a6-4b73-b01b-c9b97ff93904</vt:lpwstr>
  </property>
</Properties>
</file>