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91" i="3" l="1"/>
  <c r="C90" i="3" l="1"/>
  <c r="C89" i="3"/>
  <c r="C88" i="3" l="1"/>
  <c r="C86" i="3" l="1"/>
  <c r="C87" i="3"/>
  <c r="C42" i="5"/>
  <c r="C43" i="5"/>
  <c r="C85" i="3" l="1"/>
  <c r="D84" i="3" l="1"/>
  <c r="C84" i="3" l="1"/>
  <c r="C41" i="5" l="1"/>
  <c r="C40" i="5"/>
  <c r="C39" i="5" l="1"/>
  <c r="C38" i="5"/>
  <c r="C37" i="5"/>
  <c r="C36" i="5"/>
  <c r="C35" i="5"/>
  <c r="C34" i="5"/>
  <c r="C83" i="3" l="1"/>
  <c r="C82" i="3"/>
  <c r="C81" i="3" l="1"/>
  <c r="C80" i="3"/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96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96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<sst xmlns="http://schemas.openxmlformats.org/spreadsheetml/2006/main" count="326" uniqueCount="166">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</sst>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88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7"/>
      <tableStyleElement type="headerRow" dxfId="86"/>
    </tableStyle>
    <tableStyle name="学习" table="0" count="12">
      <tableStyleElement type="wholeTable" dxfId="85"/>
      <tableStyleElement type="headerRow" dxfId="84"/>
      <tableStyleElement type="totalRow" dxfId="83"/>
      <tableStyleElement type="firstColumn" dxfId="82"/>
      <tableStyleElement type="secondRowStripe" dxfId="81"/>
      <tableStyleElement type="secondColumnStripe" dxfId="80"/>
      <tableStyleElement type="firstSubtotalColumn" dxfId="79"/>
      <tableStyleElement type="firstSubtotalRow" dxfId="78"/>
      <tableStyleElement type="firstRowSubheading" dxfId="77"/>
      <tableStyleElement type="secondRowSubheading" dxfId="76"/>
      <tableStyleElement type="pageFieldLabels" dxfId="75"/>
      <tableStyleElement type="pageFieldValues" dxfId="7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9.786862037035" createdVersion="5" refreshedVersion="6" minRefreshableVersion="3" recordCount="90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2-02T00:00:00" count="37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39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9.78686226852" createdVersion="6" refreshedVersion="6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1" maxValue="16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x v="0"/>
    <x v="0"/>
    <n v="39"/>
    <d v="1899-12-30T01:00:00"/>
    <m/>
    <m/>
    <m/>
  </r>
  <r>
    <x v="0"/>
    <x v="1"/>
    <n v="39"/>
    <d v="1899-12-30T01:30:00"/>
    <m/>
    <m/>
    <m/>
  </r>
  <r>
    <x v="1"/>
    <x v="2"/>
    <n v="38"/>
    <d v="1899-12-30T02:25:00"/>
    <m/>
    <d v="1899-12-30T00:00:00"/>
    <d v="1899-12-30T02:25:00"/>
  </r>
  <r>
    <x v="2"/>
    <x v="3"/>
    <n v="37"/>
    <d v="1899-12-30T00:21:00"/>
    <m/>
    <d v="1899-12-30T12:45:00"/>
    <d v="1899-12-30T13:06:00"/>
  </r>
  <r>
    <x v="3"/>
    <x v="0"/>
    <n v="36"/>
    <d v="1899-12-30T01:00:00"/>
    <m/>
    <m/>
    <m/>
  </r>
  <r>
    <x v="3"/>
    <x v="1"/>
    <n v="36"/>
    <d v="1899-12-30T01:00:00"/>
    <m/>
    <m/>
    <m/>
  </r>
  <r>
    <x v="4"/>
    <x v="0"/>
    <n v="35"/>
    <d v="1899-12-30T01:30:00"/>
    <m/>
    <m/>
    <m/>
  </r>
  <r>
    <x v="4"/>
    <x v="4"/>
    <n v="35"/>
    <d v="1899-12-30T00:30:00"/>
    <m/>
    <m/>
    <m/>
  </r>
  <r>
    <x v="5"/>
    <x v="0"/>
    <n v="34"/>
    <d v="1899-12-30T00:45:00"/>
    <m/>
    <m/>
    <m/>
  </r>
  <r>
    <x v="5"/>
    <x v="5"/>
    <n v="34"/>
    <d v="1899-12-30T01:05:00"/>
    <m/>
    <m/>
    <m/>
  </r>
  <r>
    <x v="6"/>
    <x v="0"/>
    <n v="33"/>
    <d v="1899-12-30T01:00:00"/>
    <m/>
    <m/>
    <m/>
  </r>
  <r>
    <x v="7"/>
    <x v="0"/>
    <n v="32"/>
    <d v="1899-12-30T01:00:00"/>
    <m/>
    <m/>
    <m/>
  </r>
  <r>
    <x v="8"/>
    <x v="6"/>
    <n v="31"/>
    <d v="1899-12-30T00:53:00"/>
    <m/>
    <d v="1899-12-30T14:37:00"/>
    <d v="1899-12-30T15:30:00"/>
  </r>
  <r>
    <x v="9"/>
    <x v="7"/>
    <n v="29"/>
    <d v="1899-12-30T00:45:00"/>
    <m/>
    <m/>
    <m/>
  </r>
  <r>
    <x v="10"/>
    <x v="0"/>
    <n v="28"/>
    <d v="1899-12-30T01:00:00"/>
    <m/>
    <m/>
    <m/>
  </r>
  <r>
    <x v="10"/>
    <x v="7"/>
    <n v="28"/>
    <d v="1899-12-30T00:30:00"/>
    <m/>
    <m/>
    <m/>
  </r>
  <r>
    <x v="11"/>
    <x v="0"/>
    <n v="27"/>
    <d v="1899-12-30T01:00:00"/>
    <m/>
    <m/>
    <m/>
  </r>
  <r>
    <x v="11"/>
    <x v="7"/>
    <n v="27"/>
    <d v="1899-12-30T00:30:00"/>
    <m/>
    <m/>
    <m/>
  </r>
  <r>
    <x v="11"/>
    <x v="1"/>
    <n v="27"/>
    <d v="1899-12-30T01:00:00"/>
    <m/>
    <m/>
    <m/>
  </r>
  <r>
    <x v="11"/>
    <x v="5"/>
    <n v="27"/>
    <d v="1899-12-30T01:30:00"/>
    <m/>
    <m/>
    <m/>
  </r>
  <r>
    <x v="11"/>
    <x v="8"/>
    <n v="27"/>
    <d v="1899-12-30T01:04:00"/>
    <m/>
    <d v="1899-12-30T19:41:00"/>
    <d v="1899-12-30T20:45:00"/>
  </r>
  <r>
    <x v="12"/>
    <x v="0"/>
    <n v="26"/>
    <d v="1899-12-30T01:10:00"/>
    <m/>
    <m/>
    <m/>
  </r>
  <r>
    <x v="12"/>
    <x v="9"/>
    <n v="26"/>
    <d v="1899-12-30T00:30:00"/>
    <m/>
    <m/>
    <m/>
  </r>
  <r>
    <x v="12"/>
    <x v="10"/>
    <n v="26"/>
    <d v="1899-12-30T01:00:00"/>
    <m/>
    <m/>
    <m/>
  </r>
  <r>
    <x v="13"/>
    <x v="0"/>
    <n v="25"/>
    <d v="1899-12-30T01:00:00"/>
    <m/>
    <m/>
    <m/>
  </r>
  <r>
    <x v="13"/>
    <x v="7"/>
    <n v="25"/>
    <d v="1899-12-30T00:45:00"/>
    <m/>
    <m/>
    <m/>
  </r>
  <r>
    <x v="13"/>
    <x v="10"/>
    <n v="25"/>
    <d v="1899-12-30T01:00:00"/>
    <m/>
    <m/>
    <m/>
  </r>
  <r>
    <x v="14"/>
    <x v="9"/>
    <n v="24"/>
    <d v="1899-12-30T00:30:00"/>
    <m/>
    <m/>
    <m/>
  </r>
  <r>
    <x v="14"/>
    <x v="10"/>
    <n v="24"/>
    <d v="1899-12-30T02:30:00"/>
    <m/>
    <m/>
    <m/>
  </r>
  <r>
    <x v="15"/>
    <x v="1"/>
    <n v="23"/>
    <d v="1899-12-30T00:45:00"/>
    <m/>
    <m/>
    <m/>
  </r>
  <r>
    <x v="15"/>
    <x v="5"/>
    <n v="23"/>
    <d v="1899-12-30T00:30:00"/>
    <m/>
    <m/>
    <m/>
  </r>
  <r>
    <x v="15"/>
    <x v="9"/>
    <n v="23"/>
    <d v="1899-12-30T00:45:00"/>
    <s v="初步了解mathematica"/>
    <m/>
    <m/>
  </r>
  <r>
    <x v="16"/>
    <x v="10"/>
    <n v="22"/>
    <d v="1899-12-30T01:00:00"/>
    <m/>
    <m/>
    <m/>
  </r>
  <r>
    <x v="16"/>
    <x v="0"/>
    <n v="22"/>
    <d v="1899-12-30T01:00:00"/>
    <m/>
    <m/>
    <m/>
  </r>
  <r>
    <x v="16"/>
    <x v="7"/>
    <n v="22"/>
    <d v="1899-12-30T00:30:00"/>
    <m/>
    <m/>
    <m/>
  </r>
  <r>
    <x v="16"/>
    <x v="11"/>
    <n v="22"/>
    <d v="1899-12-30T01:15:00"/>
    <m/>
    <m/>
    <m/>
  </r>
  <r>
    <x v="17"/>
    <x v="0"/>
    <n v="21"/>
    <d v="1899-12-30T00:30:00"/>
    <s v="第24讲是宏表函数，觉得并没有什么用，没怎么看"/>
    <m/>
    <m/>
  </r>
  <r>
    <x v="17"/>
    <x v="7"/>
    <n v="21"/>
    <d v="1899-12-30T00:30:00"/>
    <m/>
    <m/>
    <m/>
  </r>
  <r>
    <x v="18"/>
    <x v="12"/>
    <n v="20"/>
    <d v="1899-12-30T01:00:00"/>
    <m/>
    <m/>
    <m/>
  </r>
  <r>
    <x v="18"/>
    <x v="11"/>
    <n v="20"/>
    <d v="1899-12-30T00:45:00"/>
    <m/>
    <m/>
    <m/>
  </r>
  <r>
    <x v="19"/>
    <x v="11"/>
    <n v="19"/>
    <d v="1899-12-30T01:00:00"/>
    <m/>
    <m/>
    <m/>
  </r>
  <r>
    <x v="19"/>
    <x v="7"/>
    <n v="19"/>
    <d v="1899-12-30T00:40:00"/>
    <m/>
    <m/>
    <m/>
  </r>
  <r>
    <x v="20"/>
    <x v="11"/>
    <n v="18"/>
    <d v="1899-12-30T01:10:00"/>
    <m/>
    <m/>
    <m/>
  </r>
  <r>
    <x v="20"/>
    <x v="7"/>
    <n v="18"/>
    <d v="1899-12-30T00:30:00"/>
    <m/>
    <m/>
    <m/>
  </r>
  <r>
    <x v="21"/>
    <x v="13"/>
    <n v="16"/>
    <d v="1899-12-30T02:00:00"/>
    <m/>
    <m/>
    <m/>
  </r>
  <r>
    <x v="22"/>
    <x v="7"/>
    <n v="15"/>
    <d v="1899-12-30T00:30:00"/>
    <m/>
    <m/>
    <m/>
  </r>
  <r>
    <x v="22"/>
    <x v="12"/>
    <n v="15"/>
    <d v="1899-12-30T01:00:00"/>
    <m/>
    <m/>
    <m/>
  </r>
  <r>
    <x v="22"/>
    <x v="11"/>
    <n v="15"/>
    <d v="1899-12-30T00:30:00"/>
    <m/>
    <m/>
    <m/>
  </r>
  <r>
    <x v="22"/>
    <x v="13"/>
    <n v="15"/>
    <d v="1899-12-30T01:00:00"/>
    <m/>
    <m/>
    <m/>
  </r>
  <r>
    <x v="22"/>
    <x v="13"/>
    <n v="15"/>
    <d v="1899-12-30T00:30:00"/>
    <m/>
    <m/>
    <m/>
  </r>
  <r>
    <x v="23"/>
    <x v="11"/>
    <n v="14"/>
    <d v="1899-12-30T00:45:00"/>
    <m/>
    <m/>
    <m/>
  </r>
  <r>
    <x v="23"/>
    <x v="7"/>
    <n v="14"/>
    <d v="1899-12-30T00:30:00"/>
    <m/>
    <m/>
    <m/>
  </r>
  <r>
    <x v="23"/>
    <x v="12"/>
    <n v="14"/>
    <d v="1899-12-30T00:45:00"/>
    <m/>
    <m/>
    <m/>
  </r>
  <r>
    <x v="23"/>
    <x v="14"/>
    <n v="14"/>
    <d v="1899-12-30T01:00:00"/>
    <m/>
    <m/>
    <m/>
  </r>
  <r>
    <x v="24"/>
    <x v="11"/>
    <n v="13"/>
    <d v="1899-12-30T00:45:00"/>
    <m/>
    <m/>
    <m/>
  </r>
  <r>
    <x v="24"/>
    <x v="7"/>
    <n v="13"/>
    <d v="1899-12-30T00:30:00"/>
    <m/>
    <m/>
    <m/>
  </r>
  <r>
    <x v="24"/>
    <x v="13"/>
    <n v="13"/>
    <d v="1899-12-30T00:30:00"/>
    <m/>
    <m/>
    <m/>
  </r>
  <r>
    <x v="25"/>
    <x v="13"/>
    <n v="12"/>
    <d v="1899-12-30T01:15:00"/>
    <m/>
    <m/>
    <m/>
  </r>
  <r>
    <x v="25"/>
    <x v="11"/>
    <n v="12"/>
    <d v="1899-12-30T00:30:00"/>
    <m/>
    <m/>
    <m/>
  </r>
  <r>
    <x v="25"/>
    <x v="9"/>
    <n v="12"/>
    <d v="1899-12-30T00:45:00"/>
    <m/>
    <m/>
    <m/>
  </r>
  <r>
    <x v="25"/>
    <x v="7"/>
    <n v="12"/>
    <d v="1899-12-30T00:45:00"/>
    <m/>
    <m/>
    <m/>
  </r>
  <r>
    <x v="25"/>
    <x v="12"/>
    <n v="12"/>
    <d v="1899-12-30T01:00:00"/>
    <m/>
    <m/>
    <m/>
  </r>
  <r>
    <x v="25"/>
    <x v="14"/>
    <n v="12"/>
    <d v="1899-12-30T02:00:00"/>
    <m/>
    <m/>
    <m/>
  </r>
  <r>
    <x v="26"/>
    <x v="11"/>
    <n v="11"/>
    <d v="1899-12-30T00:50:00"/>
    <m/>
    <m/>
    <m/>
  </r>
  <r>
    <x v="26"/>
    <x v="7"/>
    <n v="11"/>
    <d v="1899-12-30T00:40:00"/>
    <m/>
    <m/>
    <m/>
  </r>
  <r>
    <x v="26"/>
    <x v="10"/>
    <n v="11"/>
    <d v="1899-12-30T00:40:00"/>
    <m/>
    <m/>
    <m/>
  </r>
  <r>
    <x v="26"/>
    <x v="12"/>
    <n v="11"/>
    <d v="1899-12-30T01:00:00"/>
    <m/>
    <m/>
    <m/>
  </r>
  <r>
    <x v="26"/>
    <x v="14"/>
    <n v="11"/>
    <d v="1899-12-30T02:00:00"/>
    <m/>
    <m/>
    <m/>
  </r>
  <r>
    <x v="27"/>
    <x v="14"/>
    <n v="10"/>
    <d v="1899-12-30T01:25:00"/>
    <s v="学习起来比较困难，搁浅"/>
    <m/>
    <m/>
  </r>
  <r>
    <x v="28"/>
    <x v="13"/>
    <n v="9"/>
    <d v="1899-12-30T00:30:00"/>
    <m/>
    <m/>
    <m/>
  </r>
  <r>
    <x v="28"/>
    <x v="7"/>
    <n v="9"/>
    <d v="1899-12-30T00:30:00"/>
    <m/>
    <m/>
    <m/>
  </r>
  <r>
    <x v="29"/>
    <x v="7"/>
    <n v="8"/>
    <d v="1899-12-30T00:35:00"/>
    <m/>
    <m/>
    <m/>
  </r>
  <r>
    <x v="29"/>
    <x v="12"/>
    <n v="8"/>
    <d v="1899-12-30T00:30:00"/>
    <m/>
    <m/>
    <m/>
  </r>
  <r>
    <x v="29"/>
    <x v="13"/>
    <n v="8"/>
    <d v="1899-12-30T00:45:00"/>
    <m/>
    <m/>
    <m/>
  </r>
  <r>
    <x v="30"/>
    <x v="7"/>
    <n v="7"/>
    <d v="1899-12-30T00:45:00"/>
    <m/>
    <m/>
    <m/>
  </r>
  <r>
    <x v="30"/>
    <x v="11"/>
    <n v="7"/>
    <d v="1899-12-30T01:00:00"/>
    <m/>
    <m/>
    <m/>
  </r>
  <r>
    <x v="31"/>
    <x v="7"/>
    <n v="6"/>
    <d v="1899-12-30T00:45:00"/>
    <m/>
    <m/>
    <m/>
  </r>
  <r>
    <x v="31"/>
    <x v="11"/>
    <n v="6"/>
    <d v="1899-12-30T01:00:00"/>
    <m/>
    <m/>
    <m/>
  </r>
  <r>
    <x v="32"/>
    <x v="11"/>
    <n v="5"/>
    <d v="1899-12-30T01:15:00"/>
    <m/>
    <m/>
    <m/>
  </r>
  <r>
    <x v="32"/>
    <x v="12"/>
    <n v="5"/>
    <d v="1899-12-30T01:30:00"/>
    <m/>
    <m/>
    <m/>
  </r>
  <r>
    <x v="32"/>
    <x v="9"/>
    <n v="5"/>
    <d v="1899-12-30T00:30:00"/>
    <m/>
    <m/>
    <m/>
  </r>
  <r>
    <x v="33"/>
    <x v="7"/>
    <n v="4"/>
    <d v="1899-12-30T00:45:00"/>
    <m/>
    <m/>
    <m/>
  </r>
  <r>
    <x v="34"/>
    <x v="8"/>
    <n v="2"/>
    <d v="1899-12-30T01:08:00"/>
    <m/>
    <d v="1899-12-30T11:02:00"/>
    <d v="1899-12-30T12:10:00"/>
  </r>
  <r>
    <x v="34"/>
    <x v="8"/>
    <n v="2"/>
    <d v="1899-12-30T01:00:00"/>
    <m/>
    <m/>
    <m/>
  </r>
  <r>
    <x v="35"/>
    <x v="7"/>
    <n v="1"/>
    <d v="1899-12-30T00:40:00"/>
    <m/>
    <m/>
    <m/>
  </r>
  <r>
    <x v="35"/>
    <x v="11"/>
    <n v="1"/>
    <d v="1899-12-30T01:00:00"/>
    <m/>
    <m/>
    <m/>
  </r>
  <r>
    <x v="36"/>
    <x v="11"/>
    <n v="0"/>
    <d v="1899-12-30T01:00:00"/>
    <m/>
    <m/>
    <m/>
  </r>
  <r>
    <x v="36"/>
    <x v="15"/>
    <n v="0"/>
    <d v="1899-12-30T01:00:00"/>
    <m/>
    <m/>
    <m/>
  </r>
  <r>
    <x v="36"/>
    <x v="7"/>
    <n v="0"/>
    <d v="1899-12-30T00:30:00"/>
    <m/>
    <m/>
    <m/>
  </r>
  <r>
    <x v="36"/>
    <x v="13"/>
    <n v="0"/>
    <d v="1899-12-30T02:00:00"/>
    <s v="9.学习OS SCHED  PY2EXE库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n v="16"/>
    <n v="30"/>
  </r>
  <r>
    <x v="1"/>
    <x v="1"/>
    <n v="16"/>
    <n v="50"/>
  </r>
  <r>
    <x v="2"/>
    <x v="2"/>
    <n v="16"/>
    <n v="13"/>
  </r>
  <r>
    <x v="3"/>
    <x v="3"/>
    <n v="16"/>
    <n v="10"/>
  </r>
  <r>
    <x v="4"/>
    <x v="0"/>
    <n v="16"/>
    <n v="30"/>
  </r>
  <r>
    <x v="5"/>
    <x v="1"/>
    <n v="16"/>
    <n v="45"/>
  </r>
  <r>
    <x v="6"/>
    <x v="2"/>
    <n v="16"/>
    <n v="20"/>
  </r>
  <r>
    <x v="7"/>
    <x v="3"/>
    <n v="16"/>
    <n v="15"/>
  </r>
  <r>
    <x v="8"/>
    <x v="3"/>
    <n v="14"/>
    <n v="20"/>
  </r>
  <r>
    <x v="8"/>
    <x v="3"/>
    <n v="14"/>
    <n v="15"/>
  </r>
  <r>
    <x v="9"/>
    <x v="1"/>
    <n v="14"/>
    <n v="35"/>
  </r>
  <r>
    <x v="9"/>
    <x v="2"/>
    <n v="14"/>
    <n v="20"/>
  </r>
  <r>
    <x v="9"/>
    <x v="3"/>
    <n v="14"/>
    <n v="15"/>
  </r>
  <r>
    <x v="9"/>
    <x v="0"/>
    <n v="14"/>
    <n v="35"/>
  </r>
  <r>
    <x v="10"/>
    <x v="4"/>
    <n v="13"/>
    <n v="1"/>
  </r>
  <r>
    <x v="11"/>
    <x v="4"/>
    <n v="12"/>
    <n v="1"/>
  </r>
  <r>
    <x v="12"/>
    <x v="3"/>
    <n v="12"/>
    <n v="15"/>
  </r>
  <r>
    <x v="13"/>
    <x v="3"/>
    <n v="11"/>
    <n v="10"/>
  </r>
  <r>
    <x v="13"/>
    <x v="3"/>
    <n v="11"/>
    <n v="15"/>
  </r>
  <r>
    <x v="13"/>
    <x v="3"/>
    <n v="11"/>
    <n v="16"/>
  </r>
  <r>
    <x v="14"/>
    <x v="5"/>
    <n v="9"/>
    <n v="10"/>
  </r>
  <r>
    <x v="14"/>
    <x v="5"/>
    <n v="9"/>
    <n v="10"/>
  </r>
  <r>
    <x v="14"/>
    <x v="5"/>
    <n v="9"/>
    <n v="10"/>
  </r>
  <r>
    <x v="14"/>
    <x v="5"/>
    <n v="9"/>
    <n v="10"/>
  </r>
  <r>
    <x v="15"/>
    <x v="5"/>
    <n v="9"/>
    <n v="10"/>
  </r>
  <r>
    <x v="16"/>
    <x v="4"/>
    <n v="8"/>
    <n v="1"/>
  </r>
  <r>
    <x v="17"/>
    <x v="3"/>
    <n v="8"/>
    <n v="17"/>
  </r>
  <r>
    <x v="18"/>
    <x v="5"/>
    <n v="8"/>
    <n v="20"/>
  </r>
  <r>
    <x v="19"/>
    <x v="5"/>
    <n v="7"/>
    <n v="10"/>
  </r>
  <r>
    <x v="20"/>
    <x v="3"/>
    <n v="7"/>
    <n v="15"/>
  </r>
  <r>
    <x v="21"/>
    <x v="3"/>
    <n v="7"/>
    <n v="18"/>
  </r>
  <r>
    <x v="22"/>
    <x v="3"/>
    <n v="6"/>
    <n v="15"/>
  </r>
  <r>
    <x v="23"/>
    <x v="1"/>
    <n v="4"/>
    <n v="30"/>
  </r>
  <r>
    <x v="24"/>
    <x v="0"/>
    <n v="4"/>
    <n v="40"/>
  </r>
  <r>
    <x v="25"/>
    <x v="6"/>
    <n v="4"/>
    <n v="60"/>
  </r>
  <r>
    <x v="26"/>
    <x v="3"/>
    <n v="4"/>
    <n v="15"/>
  </r>
  <r>
    <x v="27"/>
    <x v="1"/>
    <n v="4"/>
    <n v="40"/>
  </r>
  <r>
    <x v="27"/>
    <x v="0"/>
    <n v="4"/>
    <n v="40"/>
  </r>
  <r>
    <x v="28"/>
    <x v="0"/>
    <n v="3"/>
    <n v="30"/>
  </r>
  <r>
    <x v="28"/>
    <x v="1"/>
    <n v="3"/>
    <n v="35"/>
  </r>
  <r>
    <x v="29"/>
    <x v="3"/>
    <n v="1"/>
    <n v="15"/>
  </r>
  <r>
    <x v="30"/>
    <x v="3"/>
    <n v="1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98:E105" firstHeaderRow="1" firstDataRow="2" firstDataCol="1"/>
  <pivotFields count="7">
    <pivotField axis="axisCol" numFmtId="181" showAll="0" sortType="descending">
      <items count="38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 v="4"/>
    </i>
    <i>
      <x v="6"/>
    </i>
    <i>
      <x v="8"/>
    </i>
    <i>
      <x v="9"/>
    </i>
    <i>
      <x v="16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3" baseField="0" baseItem="3" numFmtId="176"/>
  </dataFields>
  <formats count="23">
    <format dxfId="63">
      <pivotArea outline="0" collapsedLevelsAreSubtotals="1" fieldPosition="0"/>
    </format>
    <format dxfId="62">
      <pivotArea type="all" dataOnly="0" outline="0" fieldPosition="0"/>
    </format>
    <format dxfId="61">
      <pivotArea field="0" type="button" dataOnly="0" labelOnly="1" outline="0" axis="axisCol" fieldPosition="0"/>
    </format>
    <format dxfId="6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9">
      <pivotArea dataOnly="0" labelOnly="1" grandCol="1" outline="0" fieldPosition="0"/>
    </format>
    <format dxfId="58">
      <pivotArea field="0" type="button" dataOnly="0" labelOnly="1" outline="0" axis="axisCol" fieldPosition="0"/>
    </format>
    <format dxfId="57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6">
      <pivotArea dataOnly="0" labelOnly="1" grandCol="1" outline="0" fieldPosition="0"/>
    </format>
    <format dxfId="55">
      <pivotArea dataOnly="0" labelOnly="1" grandCol="1" outline="0" fieldPosition="0"/>
    </format>
    <format dxfId="5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3">
      <pivotArea dataOnly="0" labelOnly="1" grandRow="1" outline="0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fieldPosition="0">
        <references count="1">
          <reference field="1" count="1">
            <x v="15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7"/>
          </reference>
        </references>
      </pivotArea>
    </format>
    <format dxfId="46">
      <pivotArea field="0" type="button" dataOnly="0" labelOnly="1" outline="0" axis="axisCol" fieldPosition="0"/>
    </format>
    <format dxfId="45">
      <pivotArea dataOnly="0" labelOnly="1" fieldPosition="0">
        <references count="1">
          <reference field="0" count="1">
            <x v="7"/>
          </reference>
        </references>
      </pivotArea>
    </format>
    <format dxfId="44">
      <pivotArea outline="0" collapsedLevelsAreSubtotals="1" fieldPosition="0">
        <references count="1">
          <reference field="0" count="1" selected="0">
            <x v="7"/>
          </reference>
        </references>
      </pivotArea>
    </format>
    <format dxfId="43">
      <pivotArea outline="0" collapsedLevelsAreSubtotals="1" fieldPosition="0">
        <references count="1">
          <reference field="0" count="1" selected="0">
            <x v="7"/>
          </reference>
        </references>
      </pivotArea>
    </format>
    <format dxfId="42">
      <pivotArea dataOnly="0" labelOnly="1" fieldPosition="0">
        <references count="1">
          <reference field="0" count="1">
            <x v="7"/>
          </reference>
        </references>
      </pivotArea>
    </format>
    <format dxfId="41">
      <pivotArea dataOnly="0" labelOnly="1" fieldPosition="0">
        <references count="1">
          <reference field="1" count="4">
            <x v="6"/>
            <x v="8"/>
            <x v="9"/>
            <x v="16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27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91">
  <autoFilter ref="A1:G91"/>
  <tableColumns count="7">
    <tableColumn id="1" name="日期" totalsRowLabel="汇总" dataDxfId="40" totalsRowDxfId="39"/>
    <tableColumn id="2" name="科目" totalsRowDxfId="38"/>
    <tableColumn id="3" name="距离今天" dataDxfId="37" totalsRowDxfId="36">
      <calculatedColumnFormula>TODAY()-A2</calculatedColumnFormula>
    </tableColumn>
    <tableColumn id="4" name="时长" dataDxfId="35" totalsRowDxfId="34"/>
    <tableColumn id="5" name="备注" dataDxfId="33" totalsRowDxfId="32"/>
    <tableColumn id="6" name="开始时间" dataDxfId="31" totalsRowDxfId="30"/>
    <tableColumn id="7" name="结束时间" totalsRowFunction="count" dataDxfId="29" totalsRowDxfId="2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6"/>
    <tableColumn id="2" name="项目"/>
    <tableColumn id="3" name="距离今天" dataDxfId="25">
      <calculatedColumnFormula>TODAY()-ROUNDDOWN(A2,0)</calculatedColumnFormula>
    </tableColumn>
    <tableColumn id="4" name="次数/时长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25</v>
      </c>
      <c r="H3" s="13">
        <f ca="1">H2-TODAY()</f>
        <v>69</v>
      </c>
      <c r="I3" s="13">
        <f ca="1">I2-TODAY()</f>
        <v>129</v>
      </c>
      <c r="J3" s="13">
        <f ca="1">J2-TODAY()</f>
        <v>207</v>
      </c>
      <c r="K3" s="13">
        <f ca="1">K2-TODAY()</f>
        <v>389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73" priority="1">
      <formula>$A1="graduate"</formula>
    </cfRule>
    <cfRule type="expression" dxfId="72" priority="2">
      <formula>$A1="CS"</formula>
    </cfRule>
    <cfRule type="expression" dxfId="71" priority="3">
      <formula>$A1="python"</formula>
    </cfRule>
  </conditionalFormatting>
  <conditionalFormatting sqref="B22:D22">
    <cfRule type="expression" dxfId="70" priority="13">
      <formula>$A30="graduate"</formula>
    </cfRule>
    <cfRule type="expression" dxfId="69" priority="14">
      <formula>$A30="CS"</formula>
    </cfRule>
    <cfRule type="expression" dxfId="6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16" workbookViewId="0">
      <selection activeCell="C21" sqref="C2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0.53125000000000011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0.57291666666666663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SUMIF(学习记录!B:B,C4,学习记录!D:D)</f>
        <v>0.37500000000000006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0.28125</v>
      </c>
      <c r="F7" s="33">
        <v>0.58333333333333337</v>
      </c>
      <c r="G7" s="32">
        <f>E7/F7</f>
        <v>0.4821428571428571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58" t="s">
        <v>108</v>
      </c>
      <c r="D9" s="4">
        <v>1</v>
      </c>
      <c r="E9" s="5">
        <f>SUMIF(学习记录!B:B,C9,学习记录!D:D)</f>
        <v>0.12499999999999999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0.13333333333333339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4.1666666666666664E-2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7" priority="6">
      <formula>$D1=1</formula>
    </cfRule>
  </conditionalFormatting>
  <conditionalFormatting sqref="A1:G1048576">
    <cfRule type="expression" dxfId="6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77"/>
  <sheetViews>
    <sheetView tabSelected="1" topLeftCell="A92" workbookViewId="0">
      <selection activeCell="D95" sqref="D95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57">
        <f t="shared" ref="C2:C50" ca="1" si="0">TODAY()-A2</f>
        <v>39</v>
      </c>
      <c r="D2" s="34">
        <v>4.1666666666666699E-2</v>
      </c>
    </row>
    <row r="3" spans="1:7" x14ac:dyDescent="0.2">
      <c r="A3" s="55">
        <v>42300</v>
      </c>
      <c r="B3" t="s">
        <v>12</v>
      </c>
      <c r="C3" s="57">
        <f t="shared" ca="1" si="0"/>
        <v>39</v>
      </c>
      <c r="D3" s="34">
        <v>6.25E-2</v>
      </c>
    </row>
    <row r="4" spans="1:7" x14ac:dyDescent="0.2">
      <c r="A4" s="55">
        <v>42301</v>
      </c>
      <c r="B4" t="s">
        <v>33</v>
      </c>
      <c r="C4" s="57">
        <f t="shared" ca="1" si="0"/>
        <v>38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57">
        <f t="shared" ca="1" si="0"/>
        <v>37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57">
        <f t="shared" ca="1" si="0"/>
        <v>36</v>
      </c>
      <c r="D6" s="34">
        <v>4.1666666666666699E-2</v>
      </c>
    </row>
    <row r="7" spans="1:7" x14ac:dyDescent="0.2">
      <c r="A7" s="55">
        <v>42303</v>
      </c>
      <c r="B7" t="s">
        <v>12</v>
      </c>
      <c r="C7" s="57">
        <f t="shared" ca="1" si="0"/>
        <v>36</v>
      </c>
      <c r="D7" s="34">
        <v>4.1666666666666664E-2</v>
      </c>
    </row>
    <row r="8" spans="1:7" x14ac:dyDescent="0.2">
      <c r="A8" s="55">
        <v>42304</v>
      </c>
      <c r="B8" t="s">
        <v>8</v>
      </c>
      <c r="C8" s="57">
        <f t="shared" ca="1" si="0"/>
        <v>35</v>
      </c>
      <c r="D8" s="34">
        <v>6.25E-2</v>
      </c>
    </row>
    <row r="9" spans="1:7" x14ac:dyDescent="0.2">
      <c r="A9" s="55">
        <v>42304</v>
      </c>
      <c r="B9" t="s">
        <v>24</v>
      </c>
      <c r="C9" s="57">
        <f t="shared" ca="1" si="0"/>
        <v>35</v>
      </c>
      <c r="D9" s="34">
        <v>2.0833333333333332E-2</v>
      </c>
    </row>
    <row r="10" spans="1:7" x14ac:dyDescent="0.2">
      <c r="A10" s="55">
        <v>42305</v>
      </c>
      <c r="B10" t="s">
        <v>8</v>
      </c>
      <c r="C10" s="57">
        <f t="shared" ca="1" si="0"/>
        <v>34</v>
      </c>
      <c r="D10" s="34">
        <v>3.125E-2</v>
      </c>
    </row>
    <row r="11" spans="1:7" x14ac:dyDescent="0.2">
      <c r="A11" s="55">
        <v>42305</v>
      </c>
      <c r="B11" t="s">
        <v>36</v>
      </c>
      <c r="C11" s="57">
        <f t="shared" ca="1" si="0"/>
        <v>34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57">
        <f t="shared" ca="1" si="0"/>
        <v>33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57">
        <f t="shared" ca="1" si="0"/>
        <v>32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57">
        <f t="shared" ca="1" si="0"/>
        <v>31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57">
        <f t="shared" ca="1" si="0"/>
        <v>29</v>
      </c>
      <c r="D15" s="34">
        <v>3.125E-2</v>
      </c>
    </row>
    <row r="16" spans="1:7" x14ac:dyDescent="0.2">
      <c r="A16" s="55">
        <v>42311</v>
      </c>
      <c r="B16" t="s">
        <v>8</v>
      </c>
      <c r="C16" s="57">
        <f t="shared" ca="1" si="0"/>
        <v>28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57">
        <f t="shared" ca="1" si="0"/>
        <v>28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57">
        <f t="shared" ca="1" si="0"/>
        <v>27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57">
        <f t="shared" ca="1" si="0"/>
        <v>27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57">
        <f t="shared" ca="1" si="0"/>
        <v>27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57">
        <f t="shared" ca="1" si="0"/>
        <v>27</v>
      </c>
      <c r="D21" s="34">
        <v>6.25E-2</v>
      </c>
    </row>
    <row r="22" spans="1:7" x14ac:dyDescent="0.2">
      <c r="A22" s="55">
        <v>42312</v>
      </c>
      <c r="B22" t="s">
        <v>104</v>
      </c>
      <c r="C22" s="57">
        <f t="shared" ca="1" si="0"/>
        <v>27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57">
        <f t="shared" ca="1" si="0"/>
        <v>26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57">
        <f t="shared" ca="1" si="0"/>
        <v>26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57">
        <f t="shared" ca="1" si="0"/>
        <v>26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57">
        <f t="shared" ca="1" si="0"/>
        <v>25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57">
        <f t="shared" ca="1" si="0"/>
        <v>25</v>
      </c>
      <c r="D27" s="34">
        <v>3.125E-2</v>
      </c>
    </row>
    <row r="28" spans="1:7" x14ac:dyDescent="0.2">
      <c r="A28" s="55">
        <v>42314</v>
      </c>
      <c r="B28" t="s">
        <v>14</v>
      </c>
      <c r="C28" s="57">
        <f t="shared" ca="1" si="0"/>
        <v>25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57">
        <f t="shared" ca="1" si="0"/>
        <v>24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57">
        <f t="shared" ca="1" si="0"/>
        <v>24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57">
        <f t="shared" ca="1" si="0"/>
        <v>23</v>
      </c>
      <c r="D31" s="34">
        <v>3.125E-2</v>
      </c>
    </row>
    <row r="32" spans="1:7" x14ac:dyDescent="0.2">
      <c r="A32" s="55">
        <v>42316</v>
      </c>
      <c r="B32" t="s">
        <v>36</v>
      </c>
      <c r="C32" s="57">
        <f t="shared" ca="1" si="0"/>
        <v>23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57">
        <f t="shared" ca="1" si="0"/>
        <v>23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57">
        <f t="shared" ca="1" si="0"/>
        <v>22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57">
        <f t="shared" ca="1" si="0"/>
        <v>22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57">
        <f t="shared" ca="1" si="0"/>
        <v>22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57">
        <f t="shared" ca="1" si="0"/>
        <v>22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57">
        <f t="shared" ca="1" si="0"/>
        <v>21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57">
        <f t="shared" ca="1" si="0"/>
        <v>21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57">
        <f t="shared" ca="1" si="0"/>
        <v>20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57">
        <f t="shared" ca="1" si="0"/>
        <v>20</v>
      </c>
      <c r="D41" s="34">
        <v>3.125E-2</v>
      </c>
    </row>
    <row r="42" spans="1:5" x14ac:dyDescent="0.2">
      <c r="A42" s="55">
        <v>42320</v>
      </c>
      <c r="B42" t="s">
        <v>117</v>
      </c>
      <c r="C42" s="57">
        <f t="shared" ca="1" si="0"/>
        <v>19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57">
        <f t="shared" ca="1" si="0"/>
        <v>19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57">
        <f t="shared" ca="1" si="0"/>
        <v>18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57">
        <f t="shared" ca="1" si="0"/>
        <v>18</v>
      </c>
      <c r="D45" s="34">
        <v>2.0833333333333332E-2</v>
      </c>
    </row>
    <row r="46" spans="1:5" x14ac:dyDescent="0.2">
      <c r="A46" s="55">
        <v>42323</v>
      </c>
      <c r="B46" t="s">
        <v>152</v>
      </c>
      <c r="C46" s="57">
        <f t="shared" ca="1" si="0"/>
        <v>16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57">
        <f t="shared" ca="1" si="0"/>
        <v>15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57">
        <f t="shared" ca="1" si="0"/>
        <v>15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57">
        <f t="shared" ca="1" si="0"/>
        <v>15</v>
      </c>
      <c r="D49" s="34">
        <v>2.0833333333333332E-2</v>
      </c>
    </row>
    <row r="50" spans="1:4" x14ac:dyDescent="0.2">
      <c r="A50" s="55">
        <v>42324</v>
      </c>
      <c r="B50" t="s">
        <v>152</v>
      </c>
      <c r="C50" s="57">
        <f t="shared" ca="1" si="0"/>
        <v>15</v>
      </c>
      <c r="D50" s="34">
        <v>4.1666666666666664E-2</v>
      </c>
    </row>
    <row r="51" spans="1:4" x14ac:dyDescent="0.2">
      <c r="A51" s="55">
        <v>42324</v>
      </c>
      <c r="B51" t="s">
        <v>152</v>
      </c>
      <c r="C51" s="57">
        <f t="shared" ref="C51:C70" ca="1" si="1">TODAY()-A51</f>
        <v>15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57">
        <f t="shared" ca="1" si="1"/>
        <v>14</v>
      </c>
      <c r="D52" s="34">
        <v>3.125E-2</v>
      </c>
    </row>
    <row r="53" spans="1:4" x14ac:dyDescent="0.2">
      <c r="A53" s="55">
        <v>42325</v>
      </c>
      <c r="B53" t="s">
        <v>86</v>
      </c>
      <c r="C53" s="57">
        <f t="shared" ca="1" si="1"/>
        <v>14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57">
        <f t="shared" ca="1" si="1"/>
        <v>14</v>
      </c>
      <c r="D54" s="34">
        <v>3.125E-2</v>
      </c>
    </row>
    <row r="55" spans="1:4" x14ac:dyDescent="0.2">
      <c r="A55" s="55">
        <v>42325</v>
      </c>
      <c r="B55" t="s">
        <v>157</v>
      </c>
      <c r="C55" s="57">
        <f t="shared" ca="1" si="1"/>
        <v>14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57">
        <f t="shared" ca="1" si="1"/>
        <v>13</v>
      </c>
      <c r="D56" s="34">
        <v>3.125E-2</v>
      </c>
    </row>
    <row r="57" spans="1:4" x14ac:dyDescent="0.2">
      <c r="A57" s="55">
        <v>42326</v>
      </c>
      <c r="B57" t="s">
        <v>86</v>
      </c>
      <c r="C57" s="57">
        <f t="shared" ca="1" si="1"/>
        <v>13</v>
      </c>
      <c r="D57" s="34">
        <v>2.0833333333333332E-2</v>
      </c>
    </row>
    <row r="58" spans="1:4" x14ac:dyDescent="0.2">
      <c r="A58" s="55">
        <v>42326</v>
      </c>
      <c r="B58" t="s">
        <v>152</v>
      </c>
      <c r="C58" s="57">
        <f t="shared" ca="1" si="1"/>
        <v>13</v>
      </c>
      <c r="D58" s="34">
        <v>2.0833333333333332E-2</v>
      </c>
    </row>
    <row r="59" spans="1:4" x14ac:dyDescent="0.2">
      <c r="A59" s="55">
        <v>42327</v>
      </c>
      <c r="B59" t="s">
        <v>152</v>
      </c>
      <c r="C59" s="57">
        <f t="shared" ca="1" si="1"/>
        <v>12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57">
        <f t="shared" ca="1" si="1"/>
        <v>12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57">
        <f t="shared" ca="1" si="1"/>
        <v>12</v>
      </c>
      <c r="D61" s="34">
        <v>3.125E-2</v>
      </c>
    </row>
    <row r="62" spans="1:4" x14ac:dyDescent="0.2">
      <c r="A62" s="55">
        <v>42327</v>
      </c>
      <c r="B62" t="s">
        <v>86</v>
      </c>
      <c r="C62" s="57">
        <f t="shared" ca="1" si="1"/>
        <v>12</v>
      </c>
      <c r="D62" s="34">
        <v>3.125E-2</v>
      </c>
    </row>
    <row r="63" spans="1:4" x14ac:dyDescent="0.2">
      <c r="A63" s="55">
        <v>42327</v>
      </c>
      <c r="B63" t="s">
        <v>130</v>
      </c>
      <c r="C63" s="57">
        <f t="shared" ca="1" si="1"/>
        <v>12</v>
      </c>
      <c r="D63" s="34">
        <v>4.1666666666666664E-2</v>
      </c>
    </row>
    <row r="64" spans="1:4" x14ac:dyDescent="0.2">
      <c r="A64" s="55">
        <v>42327</v>
      </c>
      <c r="B64" t="s">
        <v>157</v>
      </c>
      <c r="C64" s="57">
        <f t="shared" ca="1" si="1"/>
        <v>12</v>
      </c>
      <c r="D64" s="34">
        <v>8.3333333333333329E-2</v>
      </c>
    </row>
    <row r="65" spans="1:5" x14ac:dyDescent="0.2">
      <c r="A65" s="55">
        <v>42328</v>
      </c>
      <c r="B65" t="s">
        <v>117</v>
      </c>
      <c r="C65" s="57">
        <f t="shared" ca="1" si="1"/>
        <v>11</v>
      </c>
      <c r="D65" s="34">
        <v>3.4722222222222224E-2</v>
      </c>
    </row>
    <row r="66" spans="1:5" x14ac:dyDescent="0.2">
      <c r="A66" s="55">
        <v>42328</v>
      </c>
      <c r="B66" t="s">
        <v>86</v>
      </c>
      <c r="C66" s="57">
        <f t="shared" ca="1" si="1"/>
        <v>11</v>
      </c>
      <c r="D66" s="34">
        <v>2.7777777777777776E-2</v>
      </c>
    </row>
    <row r="67" spans="1:5" x14ac:dyDescent="0.2">
      <c r="A67" s="55">
        <v>42328</v>
      </c>
      <c r="B67" t="s">
        <v>14</v>
      </c>
      <c r="C67" s="57">
        <f t="shared" ca="1" si="1"/>
        <v>11</v>
      </c>
      <c r="D67" s="34">
        <v>2.7777777777777776E-2</v>
      </c>
    </row>
    <row r="68" spans="1:5" x14ac:dyDescent="0.2">
      <c r="A68" s="55">
        <v>42328</v>
      </c>
      <c r="B68" t="s">
        <v>130</v>
      </c>
      <c r="C68" s="57">
        <f t="shared" ca="1" si="1"/>
        <v>11</v>
      </c>
      <c r="D68" s="34">
        <v>4.1666666666666664E-2</v>
      </c>
    </row>
    <row r="69" spans="1:5" x14ac:dyDescent="0.2">
      <c r="A69" s="55">
        <v>42328</v>
      </c>
      <c r="B69" t="s">
        <v>157</v>
      </c>
      <c r="C69" s="57">
        <f t="shared" ca="1" si="1"/>
        <v>11</v>
      </c>
      <c r="D69" s="34">
        <v>8.3333333333333329E-2</v>
      </c>
    </row>
    <row r="70" spans="1:5" x14ac:dyDescent="0.2">
      <c r="A70" s="55">
        <v>42329</v>
      </c>
      <c r="B70" t="s">
        <v>157</v>
      </c>
      <c r="C70" s="57">
        <f t="shared" ca="1" si="1"/>
        <v>10</v>
      </c>
      <c r="D70" s="34">
        <v>5.9027777777777783E-2</v>
      </c>
      <c r="E70" s="43" t="s">
        <v>160</v>
      </c>
    </row>
    <row r="71" spans="1:5" x14ac:dyDescent="0.2">
      <c r="A71" s="55">
        <v>42330</v>
      </c>
      <c r="B71" t="s">
        <v>152</v>
      </c>
      <c r="C71" s="57">
        <f t="shared" ref="C71:C76" ca="1" si="2">TODAY()-A71</f>
        <v>9</v>
      </c>
      <c r="D71" s="34">
        <v>2.0833333333333332E-2</v>
      </c>
    </row>
    <row r="72" spans="1:5" x14ac:dyDescent="0.2">
      <c r="A72" s="55">
        <v>42330</v>
      </c>
      <c r="B72" t="s">
        <v>86</v>
      </c>
      <c r="C72" s="57">
        <f t="shared" ca="1" si="2"/>
        <v>9</v>
      </c>
      <c r="D72" s="34">
        <v>2.0833333333333332E-2</v>
      </c>
    </row>
    <row r="73" spans="1:5" x14ac:dyDescent="0.2">
      <c r="A73" s="55">
        <v>42331</v>
      </c>
      <c r="B73" t="s">
        <v>86</v>
      </c>
      <c r="C73" s="57">
        <f t="shared" ca="1" si="2"/>
        <v>8</v>
      </c>
      <c r="D73" s="34">
        <v>2.4305555555555556E-2</v>
      </c>
    </row>
    <row r="74" spans="1:5" x14ac:dyDescent="0.2">
      <c r="A74" s="55">
        <v>42331</v>
      </c>
      <c r="B74" t="s">
        <v>130</v>
      </c>
      <c r="C74" s="57">
        <f t="shared" ca="1" si="2"/>
        <v>8</v>
      </c>
      <c r="D74" s="34">
        <v>2.0833333333333332E-2</v>
      </c>
    </row>
    <row r="75" spans="1:5" x14ac:dyDescent="0.2">
      <c r="A75" s="55">
        <v>42331</v>
      </c>
      <c r="B75" t="s">
        <v>152</v>
      </c>
      <c r="C75" s="57">
        <f t="shared" ca="1" si="2"/>
        <v>8</v>
      </c>
      <c r="D75" s="34">
        <v>3.125E-2</v>
      </c>
    </row>
    <row r="76" spans="1:5" x14ac:dyDescent="0.2">
      <c r="A76" s="55">
        <v>42332</v>
      </c>
      <c r="B76" t="s">
        <v>86</v>
      </c>
      <c r="C76" s="57">
        <f t="shared" ca="1" si="2"/>
        <v>7</v>
      </c>
      <c r="D76" s="34">
        <v>3.125E-2</v>
      </c>
    </row>
    <row r="77" spans="1:5" x14ac:dyDescent="0.2">
      <c r="A77" s="55">
        <v>42332</v>
      </c>
      <c r="B77" t="s">
        <v>117</v>
      </c>
      <c r="C77" s="57">
        <f ca="1">TODAY()-A77</f>
        <v>7</v>
      </c>
      <c r="D77" s="34">
        <v>4.1666666666666664E-2</v>
      </c>
    </row>
    <row r="78" spans="1:5" x14ac:dyDescent="0.2">
      <c r="A78" s="55">
        <v>42333</v>
      </c>
      <c r="B78" t="s">
        <v>86</v>
      </c>
      <c r="C78" s="57">
        <f ca="1">TODAY()-A78</f>
        <v>6</v>
      </c>
      <c r="D78" s="34">
        <v>3.125E-2</v>
      </c>
    </row>
    <row r="79" spans="1:5" x14ac:dyDescent="0.2">
      <c r="A79" s="55">
        <v>42333</v>
      </c>
      <c r="B79" t="s">
        <v>117</v>
      </c>
      <c r="C79" s="57">
        <f ca="1">TODAY()-A79</f>
        <v>6</v>
      </c>
      <c r="D79" s="34">
        <v>4.1666666666666664E-2</v>
      </c>
    </row>
    <row r="80" spans="1:5" x14ac:dyDescent="0.2">
      <c r="A80" s="55">
        <v>42334</v>
      </c>
      <c r="B80" t="s">
        <v>117</v>
      </c>
      <c r="C80" s="57">
        <f t="shared" ref="C80:C81" ca="1" si="3">TODAY()-A80</f>
        <v>5</v>
      </c>
      <c r="D80" s="34">
        <v>5.2083333333333336E-2</v>
      </c>
    </row>
    <row r="81" spans="1:9" x14ac:dyDescent="0.2">
      <c r="A81" s="55">
        <v>42334</v>
      </c>
      <c r="B81" t="s">
        <v>130</v>
      </c>
      <c r="C81" s="57">
        <f t="shared" ca="1" si="3"/>
        <v>5</v>
      </c>
      <c r="D81" s="34">
        <v>6.25E-2</v>
      </c>
    </row>
    <row r="82" spans="1:9" x14ac:dyDescent="0.2">
      <c r="A82" s="55">
        <v>42334</v>
      </c>
      <c r="B82" t="s">
        <v>109</v>
      </c>
      <c r="C82" s="57">
        <f ca="1">TODAY()-A82</f>
        <v>5</v>
      </c>
      <c r="D82" s="34">
        <v>2.0833333333333332E-2</v>
      </c>
    </row>
    <row r="83" spans="1:9" x14ac:dyDescent="0.2">
      <c r="A83" s="55">
        <v>42335</v>
      </c>
      <c r="B83" t="s">
        <v>86</v>
      </c>
      <c r="C83" s="57">
        <f ca="1">TODAY()-A83</f>
        <v>4</v>
      </c>
      <c r="D83" s="34">
        <v>3.125E-2</v>
      </c>
    </row>
    <row r="84" spans="1:9" x14ac:dyDescent="0.2">
      <c r="A84" s="55">
        <v>42337</v>
      </c>
      <c r="B84" t="s">
        <v>104</v>
      </c>
      <c r="C84" s="57">
        <f ca="1">TODAY()-A84</f>
        <v>2</v>
      </c>
      <c r="D84" s="34">
        <f>表2[[#This Row],[结束时间]]-表2[[#This Row],[开始时间]]</f>
        <v>4.7222222222222221E-2</v>
      </c>
      <c r="F84" s="1">
        <v>0.4597222222222222</v>
      </c>
      <c r="G84" s="1">
        <v>0.50694444444444442</v>
      </c>
    </row>
    <row r="85" spans="1:9" x14ac:dyDescent="0.2">
      <c r="A85" s="55">
        <v>42337</v>
      </c>
      <c r="B85" t="s">
        <v>104</v>
      </c>
      <c r="C85" s="57">
        <f ca="1">TODAY()-A85</f>
        <v>2</v>
      </c>
      <c r="D85" s="34">
        <v>4.1666666666666664E-2</v>
      </c>
    </row>
    <row r="86" spans="1:9" x14ac:dyDescent="0.2">
      <c r="A86" s="55">
        <v>42338</v>
      </c>
      <c r="B86" t="s">
        <v>86</v>
      </c>
      <c r="C86" s="57">
        <f t="shared" ref="C86:C87" ca="1" si="4">TODAY()-A86</f>
        <v>1</v>
      </c>
      <c r="D86" s="34">
        <v>2.7777777777777776E-2</v>
      </c>
    </row>
    <row r="87" spans="1:9" x14ac:dyDescent="0.2">
      <c r="A87" s="55">
        <v>42338</v>
      </c>
      <c r="B87" t="s">
        <v>117</v>
      </c>
      <c r="C87" s="57">
        <f t="shared" ca="1" si="4"/>
        <v>1</v>
      </c>
      <c r="D87" s="34">
        <v>4.1666666666666664E-2</v>
      </c>
    </row>
    <row r="88" spans="1:9" x14ac:dyDescent="0.2">
      <c r="A88" s="55">
        <v>42339</v>
      </c>
      <c r="B88" t="s">
        <v>117</v>
      </c>
      <c r="C88" s="57">
        <f ca="1">TODAY()-A88</f>
        <v>0</v>
      </c>
      <c r="D88" s="34">
        <v>4.1666666666666664E-2</v>
      </c>
    </row>
    <row r="89" spans="1:9" x14ac:dyDescent="0.2">
      <c r="A89" s="55">
        <v>42339</v>
      </c>
      <c r="B89" t="s">
        <v>23</v>
      </c>
      <c r="C89" s="57">
        <f ca="1">TODAY()-A89</f>
        <v>0</v>
      </c>
      <c r="D89" s="34">
        <v>4.1666666666666664E-2</v>
      </c>
    </row>
    <row r="90" spans="1:9" x14ac:dyDescent="0.2">
      <c r="A90" s="55">
        <v>42339</v>
      </c>
      <c r="B90" t="s">
        <v>86</v>
      </c>
      <c r="C90" s="57">
        <f ca="1">TODAY()-A90</f>
        <v>0</v>
      </c>
      <c r="D90" s="34">
        <v>2.0833333333333332E-2</v>
      </c>
    </row>
    <row r="91" spans="1:9" x14ac:dyDescent="0.2">
      <c r="A91" s="55">
        <v>42339</v>
      </c>
      <c r="B91" t="s">
        <v>152</v>
      </c>
      <c r="C91" s="57">
        <f ca="1">TODAY()-A91</f>
        <v>0</v>
      </c>
      <c r="D91" s="34">
        <v>0.10416666666666667</v>
      </c>
      <c r="E91" s="42" t="s">
        <v>165</v>
      </c>
    </row>
    <row r="95" spans="1:9" x14ac:dyDescent="0.2">
      <c r="G95" s="53" t="s">
        <v>119</v>
      </c>
      <c r="H95" s="35" t="s">
        <v>120</v>
      </c>
      <c r="I95" s="35"/>
    </row>
    <row r="96" spans="1:9" x14ac:dyDescent="0.2">
      <c r="G96" s="34">
        <f ca="1">SUMIF(C:C,0,D:D)</f>
        <v>0.20833333333333331</v>
      </c>
      <c r="H96" s="38" t="str">
        <f ca="1">INDEX(学习总体!C:C,RANDBETWEEN(2,COUNTIF(学习总体!D:D,学习总体!D5)+1))</f>
        <v>高数基础精讲-张宇</v>
      </c>
      <c r="I96" s="35"/>
    </row>
    <row r="98" spans="1:29" s="50" customFormat="1" x14ac:dyDescent="0.2">
      <c r="A98" s="54"/>
      <c r="B98" s="48" t="s">
        <v>155</v>
      </c>
      <c r="C98" s="60" t="s">
        <v>147</v>
      </c>
      <c r="D98" s="56"/>
      <c r="E98" s="56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51" customFormat="1" x14ac:dyDescent="0.2">
      <c r="A99" s="55"/>
      <c r="B99" s="52" t="s">
        <v>145</v>
      </c>
      <c r="C99" s="55">
        <v>42339</v>
      </c>
      <c r="D99" s="55">
        <v>42338</v>
      </c>
      <c r="E99" s="55">
        <v>42337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x14ac:dyDescent="0.2">
      <c r="B100" s="59" t="s">
        <v>152</v>
      </c>
      <c r="C100" s="34">
        <v>8.3333333333333329E-2</v>
      </c>
      <c r="E100" s="34"/>
      <c r="F100"/>
      <c r="G100"/>
      <c r="H100"/>
      <c r="I100"/>
      <c r="J100"/>
    </row>
    <row r="101" spans="1:29" x14ac:dyDescent="0.2">
      <c r="B101" s="59" t="s">
        <v>117</v>
      </c>
      <c r="C101" s="34">
        <v>4.1666666666666664E-2</v>
      </c>
      <c r="D101" s="34">
        <v>4.1666666666666664E-2</v>
      </c>
      <c r="E101" s="34"/>
      <c r="F101"/>
      <c r="G101"/>
      <c r="H101"/>
      <c r="I101"/>
      <c r="J101"/>
    </row>
    <row r="102" spans="1:29" x14ac:dyDescent="0.2">
      <c r="B102" s="49" t="s">
        <v>104</v>
      </c>
      <c r="C102" s="34"/>
      <c r="E102" s="34">
        <v>8.8888888888888878E-2</v>
      </c>
      <c r="F102"/>
      <c r="G102"/>
      <c r="H102"/>
      <c r="I102"/>
      <c r="J102"/>
    </row>
    <row r="103" spans="1:29" x14ac:dyDescent="0.2">
      <c r="B103" s="59" t="s">
        <v>86</v>
      </c>
      <c r="C103" s="34">
        <v>2.0833333333333332E-2</v>
      </c>
      <c r="D103" s="34">
        <v>2.7777777777777776E-2</v>
      </c>
      <c r="E103" s="34"/>
      <c r="F103"/>
      <c r="G103"/>
      <c r="H103"/>
      <c r="I103"/>
      <c r="J103"/>
    </row>
    <row r="104" spans="1:29" x14ac:dyDescent="0.2">
      <c r="B104" s="49" t="s">
        <v>23</v>
      </c>
      <c r="C104" s="34">
        <v>4.1666666666666664E-2</v>
      </c>
      <c r="E104" s="34"/>
      <c r="F104"/>
      <c r="G104"/>
      <c r="H104"/>
      <c r="I104"/>
      <c r="J104"/>
    </row>
    <row r="105" spans="1:29" x14ac:dyDescent="0.2">
      <c r="B105" s="49" t="s">
        <v>146</v>
      </c>
      <c r="C105" s="34">
        <v>0.1875</v>
      </c>
      <c r="D105" s="34">
        <v>6.9444444444444448E-2</v>
      </c>
      <c r="E105" s="34">
        <v>8.8888888888888878E-2</v>
      </c>
      <c r="F105"/>
      <c r="G105"/>
      <c r="H105"/>
      <c r="I105"/>
      <c r="J105"/>
    </row>
    <row r="106" spans="1:29" x14ac:dyDescent="0.2">
      <c r="C106"/>
      <c r="D106"/>
      <c r="E106"/>
      <c r="F106"/>
      <c r="G106"/>
      <c r="H106"/>
      <c r="I106"/>
      <c r="J106"/>
    </row>
    <row r="107" spans="1:29" x14ac:dyDescent="0.2">
      <c r="C107" s="42"/>
      <c r="D107"/>
      <c r="E107"/>
      <c r="F107"/>
      <c r="G107"/>
      <c r="H107"/>
      <c r="I107"/>
      <c r="J107"/>
    </row>
    <row r="108" spans="1:29" x14ac:dyDescent="0.2">
      <c r="C108" s="42"/>
      <c r="D108"/>
      <c r="E108"/>
      <c r="F108"/>
      <c r="G108"/>
      <c r="H108"/>
      <c r="I108"/>
      <c r="J108"/>
    </row>
    <row r="109" spans="1:29" x14ac:dyDescent="0.2">
      <c r="C109" s="42"/>
      <c r="D109"/>
      <c r="E109"/>
      <c r="F109"/>
      <c r="G109"/>
      <c r="H109"/>
      <c r="I109"/>
      <c r="J109"/>
    </row>
    <row r="110" spans="1:29" x14ac:dyDescent="0.2">
      <c r="C110" s="42"/>
      <c r="D110"/>
      <c r="E110"/>
      <c r="F110"/>
      <c r="G110"/>
      <c r="H110"/>
      <c r="I110"/>
      <c r="J110"/>
    </row>
    <row r="111" spans="1:29" x14ac:dyDescent="0.2">
      <c r="C111" s="42"/>
      <c r="D111"/>
      <c r="E111"/>
      <c r="F111"/>
      <c r="G111"/>
      <c r="H111"/>
      <c r="I111"/>
      <c r="J111"/>
    </row>
    <row r="112" spans="1:29" x14ac:dyDescent="0.2">
      <c r="C112" s="42"/>
      <c r="D112"/>
      <c r="E112"/>
      <c r="F112"/>
      <c r="G112"/>
      <c r="H112"/>
      <c r="I112"/>
      <c r="J112"/>
    </row>
    <row r="113" spans="3:10" x14ac:dyDescent="0.2">
      <c r="C113" s="42"/>
      <c r="D113"/>
      <c r="E113"/>
      <c r="F113"/>
      <c r="G113"/>
      <c r="H113"/>
      <c r="I113"/>
      <c r="J113"/>
    </row>
    <row r="114" spans="3:10" x14ac:dyDescent="0.2">
      <c r="C114" s="42"/>
      <c r="D114"/>
      <c r="E114"/>
      <c r="F114"/>
      <c r="G114"/>
      <c r="H114"/>
      <c r="I114"/>
      <c r="J114"/>
    </row>
    <row r="115" spans="3:10" x14ac:dyDescent="0.2">
      <c r="C115" s="42"/>
      <c r="D115"/>
      <c r="E115"/>
      <c r="F115"/>
      <c r="G115"/>
      <c r="H115"/>
      <c r="I115"/>
      <c r="J115"/>
    </row>
    <row r="116" spans="3:10" x14ac:dyDescent="0.2">
      <c r="C116" s="42"/>
      <c r="I116"/>
      <c r="J116"/>
    </row>
    <row r="117" spans="3:10" x14ac:dyDescent="0.2">
      <c r="C117" s="42"/>
      <c r="I117"/>
      <c r="J117"/>
    </row>
    <row r="118" spans="3:10" x14ac:dyDescent="0.2">
      <c r="C118" s="42"/>
      <c r="I118"/>
      <c r="J118"/>
    </row>
    <row r="119" spans="3:10" x14ac:dyDescent="0.2">
      <c r="C119" s="42"/>
      <c r="I119"/>
      <c r="J119"/>
    </row>
    <row r="120" spans="3:10" x14ac:dyDescent="0.2">
      <c r="C120" s="42"/>
      <c r="I120"/>
      <c r="J120"/>
    </row>
    <row r="121" spans="3:10" x14ac:dyDescent="0.2">
      <c r="C121" s="42"/>
      <c r="I121"/>
      <c r="J121"/>
    </row>
    <row r="122" spans="3:10" x14ac:dyDescent="0.2">
      <c r="C122" s="42"/>
      <c r="I122"/>
      <c r="J122"/>
    </row>
    <row r="123" spans="3:10" x14ac:dyDescent="0.2">
      <c r="C123" s="42"/>
      <c r="I123"/>
      <c r="J123"/>
    </row>
    <row r="124" spans="3:10" x14ac:dyDescent="0.2">
      <c r="C124" s="42"/>
    </row>
    <row r="125" spans="3:10" x14ac:dyDescent="0.2">
      <c r="C125" s="42"/>
    </row>
    <row r="126" spans="3:10" x14ac:dyDescent="0.2">
      <c r="C126" s="42"/>
    </row>
    <row r="127" spans="3:10" x14ac:dyDescent="0.2">
      <c r="C127" s="42"/>
    </row>
    <row r="128" spans="3:10" x14ac:dyDescent="0.2">
      <c r="C128" s="42"/>
    </row>
    <row r="129" spans="3:3" x14ac:dyDescent="0.2">
      <c r="C129" s="42"/>
    </row>
    <row r="130" spans="3:3" x14ac:dyDescent="0.2">
      <c r="C130" s="42"/>
    </row>
    <row r="131" spans="3:3" x14ac:dyDescent="0.2">
      <c r="C131" s="42"/>
    </row>
    <row r="132" spans="3:3" x14ac:dyDescent="0.2">
      <c r="C132" s="42"/>
    </row>
    <row r="133" spans="3:3" x14ac:dyDescent="0.2">
      <c r="C133" s="42"/>
    </row>
    <row r="134" spans="3:3" x14ac:dyDescent="0.2">
      <c r="C134" s="42"/>
    </row>
    <row r="135" spans="3:3" x14ac:dyDescent="0.2">
      <c r="C135" s="42"/>
    </row>
    <row r="136" spans="3:3" x14ac:dyDescent="0.2">
      <c r="C136" s="42"/>
    </row>
    <row r="137" spans="3:3" x14ac:dyDescent="0.2">
      <c r="C137" s="42"/>
    </row>
    <row r="138" spans="3:3" x14ac:dyDescent="0.2">
      <c r="C138" s="42"/>
    </row>
    <row r="139" spans="3:3" x14ac:dyDescent="0.2">
      <c r="C139" s="42"/>
    </row>
    <row r="140" spans="3:3" x14ac:dyDescent="0.2">
      <c r="C140" s="42"/>
    </row>
    <row r="141" spans="3:3" x14ac:dyDescent="0.2">
      <c r="C141" s="42"/>
    </row>
    <row r="142" spans="3:3" x14ac:dyDescent="0.2">
      <c r="C142" s="42"/>
    </row>
    <row r="143" spans="3:3" x14ac:dyDescent="0.2">
      <c r="C143" s="42"/>
    </row>
    <row r="144" spans="3:3" x14ac:dyDescent="0.2">
      <c r="C144" s="42"/>
    </row>
    <row r="145" spans="3:3" x14ac:dyDescent="0.2">
      <c r="C145" s="42"/>
    </row>
    <row r="146" spans="3:3" x14ac:dyDescent="0.2">
      <c r="C146" s="42"/>
    </row>
    <row r="147" spans="3:3" x14ac:dyDescent="0.2">
      <c r="C147" s="42"/>
    </row>
    <row r="148" spans="3:3" x14ac:dyDescent="0.2">
      <c r="C148" s="42"/>
    </row>
    <row r="149" spans="3:3" x14ac:dyDescent="0.2">
      <c r="C149" s="42"/>
    </row>
    <row r="150" spans="3:3" x14ac:dyDescent="0.2">
      <c r="C150" s="42"/>
    </row>
    <row r="151" spans="3:3" x14ac:dyDescent="0.2">
      <c r="C151" s="42"/>
    </row>
    <row r="152" spans="3:3" x14ac:dyDescent="0.2">
      <c r="C152" s="42"/>
    </row>
    <row r="153" spans="3:3" x14ac:dyDescent="0.2">
      <c r="C153" s="42"/>
    </row>
    <row r="154" spans="3:3" x14ac:dyDescent="0.2">
      <c r="C154" s="42"/>
    </row>
    <row r="155" spans="3:3" x14ac:dyDescent="0.2">
      <c r="C155" s="42"/>
    </row>
    <row r="156" spans="3:3" x14ac:dyDescent="0.2">
      <c r="C156" s="42"/>
    </row>
    <row r="157" spans="3:3" x14ac:dyDescent="0.2">
      <c r="C157" s="42"/>
    </row>
    <row r="158" spans="3:3" x14ac:dyDescent="0.2">
      <c r="C158" s="42"/>
    </row>
    <row r="159" spans="3:3" x14ac:dyDescent="0.2">
      <c r="C159" s="42"/>
    </row>
    <row r="160" spans="3:3" x14ac:dyDescent="0.2">
      <c r="C160" s="42"/>
    </row>
    <row r="161" spans="3:3" x14ac:dyDescent="0.2">
      <c r="C161" s="42"/>
    </row>
    <row r="162" spans="3:3" x14ac:dyDescent="0.2">
      <c r="C162" s="42"/>
    </row>
    <row r="163" spans="3:3" x14ac:dyDescent="0.2">
      <c r="C163" s="42"/>
    </row>
    <row r="164" spans="3:3" x14ac:dyDescent="0.2">
      <c r="C164" s="42"/>
    </row>
    <row r="165" spans="3:3" x14ac:dyDescent="0.2">
      <c r="C165" s="42"/>
    </row>
    <row r="166" spans="3:3" x14ac:dyDescent="0.2">
      <c r="C166" s="42"/>
    </row>
    <row r="167" spans="3:3" x14ac:dyDescent="0.2">
      <c r="C167" s="42"/>
    </row>
    <row r="168" spans="3:3" x14ac:dyDescent="0.2">
      <c r="C168" s="42"/>
    </row>
    <row r="169" spans="3:3" x14ac:dyDescent="0.2">
      <c r="C169" s="42"/>
    </row>
    <row r="170" spans="3:3" x14ac:dyDescent="0.2">
      <c r="C170" s="42"/>
    </row>
    <row r="171" spans="3:3" x14ac:dyDescent="0.2">
      <c r="C171" s="42"/>
    </row>
    <row r="172" spans="3:3" x14ac:dyDescent="0.2">
      <c r="C172" s="42"/>
    </row>
    <row r="173" spans="3:3" x14ac:dyDescent="0.2">
      <c r="C173" s="42"/>
    </row>
    <row r="174" spans="3:3" x14ac:dyDescent="0.2">
      <c r="C174" s="42"/>
    </row>
    <row r="175" spans="3:3" x14ac:dyDescent="0.2">
      <c r="C175" s="42"/>
    </row>
    <row r="176" spans="3:3" x14ac:dyDescent="0.2">
      <c r="C176" s="42"/>
    </row>
    <row r="177" spans="3:3" x14ac:dyDescent="0.2">
      <c r="C177" s="42"/>
    </row>
  </sheetData>
  <phoneticPr fontId="4" type="noConversion"/>
  <conditionalFormatting sqref="A98:A104 G98:G99 A97:G97 A105:B177 D116:G177 A95:F96 A178:G1048576 A1:G94">
    <cfRule type="expression" dxfId="65" priority="7">
      <formula>$A1=TODAY()-1</formula>
    </cfRule>
    <cfRule type="expression" dxfId="64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B178:B1048576 B1:B97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16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16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16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16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16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16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16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16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14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14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14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14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14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14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13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12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12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11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11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11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9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9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9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9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9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8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8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8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7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7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7</v>
      </c>
      <c r="D32" s="42">
        <v>18</v>
      </c>
    </row>
    <row r="33" spans="1:8" x14ac:dyDescent="0.2">
      <c r="A33" s="41">
        <v>42333.652083333334</v>
      </c>
      <c r="B33" t="s">
        <v>139</v>
      </c>
      <c r="C33" s="45">
        <f t="shared" ca="1" si="1"/>
        <v>6</v>
      </c>
      <c r="D33" s="42">
        <v>15</v>
      </c>
    </row>
    <row r="34" spans="1:8" x14ac:dyDescent="0.2">
      <c r="A34" s="41">
        <v>42335.855555555558</v>
      </c>
      <c r="B34" t="s">
        <v>141</v>
      </c>
      <c r="C34" s="45">
        <f t="shared" ca="1" si="1"/>
        <v>4</v>
      </c>
      <c r="D34" s="42">
        <v>30</v>
      </c>
    </row>
    <row r="35" spans="1:8" x14ac:dyDescent="0.2">
      <c r="A35" s="41">
        <v>42335.857638888891</v>
      </c>
      <c r="B35" t="s">
        <v>140</v>
      </c>
      <c r="C35" s="45">
        <f t="shared" ca="1" si="1"/>
        <v>4</v>
      </c>
      <c r="D35" s="42">
        <v>40</v>
      </c>
      <c r="G35"/>
    </row>
    <row r="36" spans="1:8" x14ac:dyDescent="0.2">
      <c r="A36" s="41">
        <v>42335.86041666667</v>
      </c>
      <c r="B36" t="s">
        <v>163</v>
      </c>
      <c r="C36" s="45">
        <f t="shared" ca="1" si="1"/>
        <v>4</v>
      </c>
      <c r="D36" s="42">
        <v>60</v>
      </c>
    </row>
    <row r="37" spans="1:8" x14ac:dyDescent="0.2">
      <c r="A37" s="41">
        <v>42335.867361111108</v>
      </c>
      <c r="B37" t="s">
        <v>139</v>
      </c>
      <c r="C37" s="45">
        <f t="shared" ca="1" si="1"/>
        <v>4</v>
      </c>
      <c r="D37" s="42">
        <v>15</v>
      </c>
    </row>
    <row r="38" spans="1:8" x14ac:dyDescent="0.2">
      <c r="A38" s="41">
        <v>42335.87222222222</v>
      </c>
      <c r="B38" t="s">
        <v>141</v>
      </c>
      <c r="C38" s="45">
        <f t="shared" ca="1" si="1"/>
        <v>4</v>
      </c>
      <c r="D38" s="42">
        <v>40</v>
      </c>
    </row>
    <row r="39" spans="1:8" x14ac:dyDescent="0.2">
      <c r="A39" s="41">
        <v>42335.87222222222</v>
      </c>
      <c r="B39" t="s">
        <v>140</v>
      </c>
      <c r="C39" s="45">
        <f t="shared" ca="1" si="1"/>
        <v>4</v>
      </c>
      <c r="D39" s="42">
        <v>40</v>
      </c>
    </row>
    <row r="40" spans="1:8" x14ac:dyDescent="0.2">
      <c r="A40" s="41">
        <v>42336.954861111109</v>
      </c>
      <c r="B40" t="s">
        <v>140</v>
      </c>
      <c r="C40" s="45">
        <f t="shared" ca="1" si="1"/>
        <v>3</v>
      </c>
      <c r="D40" s="42">
        <v>30</v>
      </c>
    </row>
    <row r="41" spans="1:8" x14ac:dyDescent="0.2">
      <c r="A41" s="41">
        <v>42336.954861111109</v>
      </c>
      <c r="B41" t="s">
        <v>141</v>
      </c>
      <c r="C41" s="45">
        <f ca="1">TODAY()-ROUNDDOWN(A41,0)</f>
        <v>3</v>
      </c>
      <c r="D41" s="42">
        <v>35</v>
      </c>
    </row>
    <row r="42" spans="1:8" x14ac:dyDescent="0.2">
      <c r="A42" s="41">
        <v>42338.556250000001</v>
      </c>
      <c r="B42" t="s">
        <v>139</v>
      </c>
      <c r="C42" s="45">
        <f t="shared" ref="C42:C43" ca="1" si="2">TODAY()-ROUNDDOWN(A42,0)</f>
        <v>1</v>
      </c>
      <c r="D42" s="42">
        <v>15</v>
      </c>
    </row>
    <row r="43" spans="1:8" x14ac:dyDescent="0.2">
      <c r="A43" s="41">
        <v>42338.620138888888</v>
      </c>
      <c r="B43" t="s">
        <v>139</v>
      </c>
      <c r="C43" s="45">
        <f t="shared" ca="1" si="2"/>
        <v>1</v>
      </c>
      <c r="D43" s="42">
        <v>20</v>
      </c>
    </row>
    <row r="45" spans="1:8" x14ac:dyDescent="0.2">
      <c r="F45" s="44" t="s">
        <v>148</v>
      </c>
      <c r="G45" s="44" t="s">
        <v>147</v>
      </c>
      <c r="H45" s="42"/>
    </row>
    <row r="46" spans="1:8" x14ac:dyDescent="0.2">
      <c r="F46" s="44" t="s">
        <v>145</v>
      </c>
      <c r="G46" s="42" t="s">
        <v>164</v>
      </c>
      <c r="H46" s="42" t="s">
        <v>146</v>
      </c>
    </row>
    <row r="47" spans="1:8" x14ac:dyDescent="0.2">
      <c r="F47" s="38" t="s">
        <v>139</v>
      </c>
      <c r="G47" s="42">
        <v>35</v>
      </c>
      <c r="H47" s="42">
        <v>35</v>
      </c>
    </row>
    <row r="48" spans="1:8" x14ac:dyDescent="0.2">
      <c r="F48" s="38" t="s">
        <v>146</v>
      </c>
      <c r="G48" s="42">
        <v>35</v>
      </c>
      <c r="H48" s="42">
        <v>35</v>
      </c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2015-12-01T10:54:55Z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