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<sst xmlns="http://schemas.openxmlformats.org/spreadsheetml/2006/main" count="391" uniqueCount="180">
  <si>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</si>
  <si>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</si>
  <si>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</si>
  <si>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</si>
  <si>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</si>
  <si>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</si>
  <si>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</si>
  <si>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</si>
  <si>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</si>
  <si>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</si>
  <si>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</si>
  <si>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</si>
  <si>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</si>
  <si>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</si>
  <si>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</si>
  <si>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</si>
  <si>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</si>
  <si>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</si>
  <si>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</si>
  <si>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</si>
  <si>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</si>
  <si>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</si>
  <si>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</si>
  <si>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</si>
  <si>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</si>
  <si>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</si>
  <si>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</si>
  <si>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</si>
  <si>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</si>
  <si>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</si>
  <si>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</si>
  <si>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</si>
  <si>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</si>
  <si>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</si>
  <si>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</si>
  <si>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</si>
  <si>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</si>
  <si>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</si>
  <si>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</si>
  <si>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</si>
  <si>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</si>
  <si>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</si>
  <si>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</si>
  <si>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</si>
  <si>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</si>
  <si>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</si>
  <si>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</si>
  <si>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</si>
  <si>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</si>
  <si>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</si>
  <si>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</si>
  <si>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</si>
  <si>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</si>
  <si>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</si>
  <si>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</si>
  <si>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</si>
  <si>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</si>
  <si>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</si>
  <si>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</si>
  <si>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</si>
  <si>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</si>
  <si>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</si>
  <si>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</si>
  <si>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</si>
  <si>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</si>
  <si>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</si>
  <si>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</si>
  <si>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</si>
  <si>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</si>
  <si>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</si>
  <si>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</si>
  <si>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</si>
  <si>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</si>
  <si>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</si>
  <si>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</si>
  <si>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</si>
  <si>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</si>
  <si>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</si>
  <si>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</si>
  <si>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</si>
  <si>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</si>
  <si>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</si>
  <si>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</si>
  <si>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</si>
  <si>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</si>
  <si>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</si>
  <si>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</si>
  <si>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</si>
  <si>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</si>
  <si>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</si>
  <si>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</si>
  <si>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</si>
  <si>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</si>
  <si>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</si>
  <si>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</si>
  <si>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</si>
  <si>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</si>
  <si>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</si>
  <si>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</si>
  <si>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</si>
  <si>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</si>
  <si>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</si>
  <si>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</si>
  <si>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</si>
  <si>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</si>
  <si>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</si>
  <si>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</si>
  <si>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</si>
  <si>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</si>
  <si>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</si>
  <si>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</si>
  <si>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</si>
  <si>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</si>
  <si>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</si>
  <si>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</si>
  <si>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</si>
  <si>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</si>
  <si>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</si>
  <si>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</si>
  <si>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</si>
  <si>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</si>
  <si>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</si>
  <si>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</si>
  <si>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</si>
  <si>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</si>
  <si>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</si>
  <si>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</si>
  <si>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</si>
  <si>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</si>
  <si>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</si>
  <si>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</si>
  <si>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</si>
  <si>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</si>
  <si>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</si>
  <si>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</si>
  <si>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</si>
  <si>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</si>
  <si>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</si>
  <si>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</si>
  <si>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</si>
  <si>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</si>
  <si>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</si>
  <si>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</si>
  <si>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</si>
  <si>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</si>
  <si>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</si>
  <si>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</si>
  <si>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</si>
  <si>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</si>
  <si>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</si>
  <si>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</si>
  <si>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</si>
  <si>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</si>
  <si>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</si>
  <si>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</si>
  <si>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</si>
  <si>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</si>
  <si>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</si>
  <si>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</si>
  <si>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</si>
  <si>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</si>
  <si>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</si>
  <si>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</si>
  <si>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</si>
  <si>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</si>
  <si>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</si>
  <si>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</si>
  <si>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</si>
  <si>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</si>
  <si>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</si>
  <si>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</si>
  <si>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</si>
  <si>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字帖-英语</t>
  </si>
  <si>
    <t>Python</t>
    <phoneticPr fontId="4" type="noConversion"/>
  </si>
  <si>
    <t>Python爬虫学习</t>
  </si>
  <si>
    <t>Python爬虫学习</t>
    <phoneticPr fontId="4" type="noConversion"/>
  </si>
  <si>
    <t>12月15日</t>
  </si>
  <si>
    <t>English</t>
  </si>
  <si>
    <t>12月16日</t>
  </si>
  <si>
    <t>计数项:次数/时长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</si>
</sst>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77" fontId="12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8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7"/>
      <tableStyleElement type="headerRow" dxfId="96"/>
    </tableStyle>
    <tableStyle name="学习" table="0" count="12">
      <tableStyleElement type="wholeTable" dxfId="95"/>
      <tableStyleElement type="headerRow" dxfId="94"/>
      <tableStyleElement type="totalRow" dxfId="93"/>
      <tableStyleElement type="firstColumn" dxfId="92"/>
      <tableStyleElement type="secondRowStripe" dxfId="91"/>
      <tableStyleElement type="secondColumnStripe" dxfId="90"/>
      <tableStyleElement type="firstSubtotalColumn" dxfId="89"/>
      <tableStyleElement type="firstSubtotalRow" dxfId="88"/>
      <tableStyleElement type="firstRowSubheading" dxfId="87"/>
      <tableStyleElement type="secondRowSubheading" dxfId="86"/>
      <tableStyleElement type="pageFieldLabels" dxfId="85"/>
      <tableStyleElement type="pageFieldValues" dxfId="8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56.49456550926" createdVersion="6" refreshedVersion="5" minRefreshableVersion="3" recordCount="68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17T00:00:00" count="15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</sharedItems>
      <fieldGroup base="0">
        <rangePr groupBy="days" startDate="2015-11-15T00:00:00" endDate="2015-12-17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2-17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2" maxValue="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56.494566435184" createdVersion="5" refreshedVersion="5" minRefreshableVersion="3" recordCount="112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7T00:00:00" count="48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2" maxValue="56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n v="30"/>
    <n v="33"/>
  </r>
  <r>
    <x v="0"/>
    <x v="1"/>
    <n v="50"/>
    <n v="33"/>
  </r>
  <r>
    <x v="0"/>
    <x v="2"/>
    <n v="13"/>
    <n v="33"/>
  </r>
  <r>
    <x v="0"/>
    <x v="3"/>
    <n v="10"/>
    <n v="33"/>
  </r>
  <r>
    <x v="0"/>
    <x v="0"/>
    <n v="30"/>
    <n v="33"/>
  </r>
  <r>
    <x v="0"/>
    <x v="1"/>
    <n v="45"/>
    <n v="33"/>
  </r>
  <r>
    <x v="0"/>
    <x v="2"/>
    <n v="20"/>
    <n v="33"/>
  </r>
  <r>
    <x v="0"/>
    <x v="3"/>
    <n v="15"/>
    <n v="33"/>
  </r>
  <r>
    <x v="1"/>
    <x v="3"/>
    <n v="20"/>
    <n v="31"/>
  </r>
  <r>
    <x v="1"/>
    <x v="3"/>
    <n v="15"/>
    <n v="31"/>
  </r>
  <r>
    <x v="1"/>
    <x v="1"/>
    <n v="35"/>
    <n v="31"/>
  </r>
  <r>
    <x v="1"/>
    <x v="2"/>
    <n v="20"/>
    <n v="31"/>
  </r>
  <r>
    <x v="1"/>
    <x v="3"/>
    <n v="15"/>
    <n v="31"/>
  </r>
  <r>
    <x v="1"/>
    <x v="0"/>
    <n v="35"/>
    <n v="31"/>
  </r>
  <r>
    <x v="2"/>
    <x v="4"/>
    <n v="1"/>
    <n v="30"/>
  </r>
  <r>
    <x v="3"/>
    <x v="4"/>
    <n v="1"/>
    <n v="29"/>
  </r>
  <r>
    <x v="3"/>
    <x v="3"/>
    <n v="15"/>
    <n v="29"/>
  </r>
  <r>
    <x v="4"/>
    <x v="3"/>
    <n v="10"/>
    <n v="28"/>
  </r>
  <r>
    <x v="4"/>
    <x v="3"/>
    <n v="15"/>
    <n v="28"/>
  </r>
  <r>
    <x v="4"/>
    <x v="3"/>
    <n v="16"/>
    <n v="28"/>
  </r>
  <r>
    <x v="5"/>
    <x v="5"/>
    <n v="10"/>
    <n v="26"/>
  </r>
  <r>
    <x v="5"/>
    <x v="5"/>
    <n v="10"/>
    <n v="26"/>
  </r>
  <r>
    <x v="5"/>
    <x v="5"/>
    <n v="10"/>
    <n v="26"/>
  </r>
  <r>
    <x v="5"/>
    <x v="5"/>
    <n v="10"/>
    <n v="26"/>
  </r>
  <r>
    <x v="5"/>
    <x v="5"/>
    <n v="10"/>
    <n v="26"/>
  </r>
  <r>
    <x v="6"/>
    <x v="4"/>
    <n v="1"/>
    <n v="25"/>
  </r>
  <r>
    <x v="6"/>
    <x v="3"/>
    <n v="17"/>
    <n v="25"/>
  </r>
  <r>
    <x v="6"/>
    <x v="5"/>
    <n v="20"/>
    <n v="25"/>
  </r>
  <r>
    <x v="7"/>
    <x v="5"/>
    <n v="10"/>
    <n v="24"/>
  </r>
  <r>
    <x v="7"/>
    <x v="3"/>
    <n v="15"/>
    <n v="24"/>
  </r>
  <r>
    <x v="7"/>
    <x v="3"/>
    <n v="18"/>
    <n v="24"/>
  </r>
  <r>
    <x v="8"/>
    <x v="3"/>
    <n v="15"/>
    <n v="23"/>
  </r>
  <r>
    <x v="9"/>
    <x v="1"/>
    <n v="30"/>
    <n v="21"/>
  </r>
  <r>
    <x v="9"/>
    <x v="0"/>
    <n v="40"/>
    <n v="21"/>
  </r>
  <r>
    <x v="9"/>
    <x v="6"/>
    <n v="60"/>
    <n v="21"/>
  </r>
  <r>
    <x v="9"/>
    <x v="3"/>
    <n v="15"/>
    <n v="21"/>
  </r>
  <r>
    <x v="9"/>
    <x v="1"/>
    <n v="40"/>
    <n v="21"/>
  </r>
  <r>
    <x v="9"/>
    <x v="0"/>
    <n v="40"/>
    <n v="21"/>
  </r>
  <r>
    <x v="10"/>
    <x v="0"/>
    <n v="30"/>
    <n v="20"/>
  </r>
  <r>
    <x v="10"/>
    <x v="1"/>
    <n v="35"/>
    <n v="20"/>
  </r>
  <r>
    <x v="11"/>
    <x v="3"/>
    <n v="15"/>
    <n v="18"/>
  </r>
  <r>
    <x v="11"/>
    <x v="3"/>
    <n v="20"/>
    <n v="18"/>
  </r>
  <r>
    <x v="12"/>
    <x v="3"/>
    <n v="13"/>
    <n v="10"/>
  </r>
  <r>
    <x v="12"/>
    <x v="0"/>
    <n v="30"/>
    <n v="10"/>
  </r>
  <r>
    <x v="12"/>
    <x v="1"/>
    <n v="40"/>
    <n v="10"/>
  </r>
  <r>
    <x v="12"/>
    <x v="2"/>
    <n v="15"/>
    <n v="10"/>
  </r>
  <r>
    <x v="12"/>
    <x v="6"/>
    <n v="60"/>
    <n v="10"/>
  </r>
  <r>
    <x v="12"/>
    <x v="1"/>
    <n v="41"/>
    <n v="10"/>
  </r>
  <r>
    <x v="12"/>
    <x v="3"/>
    <n v="10"/>
    <n v="10"/>
  </r>
  <r>
    <x v="12"/>
    <x v="0"/>
    <n v="30"/>
    <n v="10"/>
  </r>
  <r>
    <x v="12"/>
    <x v="6"/>
    <n v="60"/>
    <n v="10"/>
  </r>
  <r>
    <x v="13"/>
    <x v="3"/>
    <n v="13"/>
    <n v="3"/>
  </r>
  <r>
    <x v="13"/>
    <x v="1"/>
    <n v="40"/>
    <n v="3"/>
  </r>
  <r>
    <x v="13"/>
    <x v="2"/>
    <n v="15"/>
    <n v="3"/>
  </r>
  <r>
    <x v="13"/>
    <x v="0"/>
    <n v="30"/>
    <n v="3"/>
  </r>
  <r>
    <x v="13"/>
    <x v="3"/>
    <n v="15"/>
    <n v="3"/>
  </r>
  <r>
    <x v="13"/>
    <x v="1"/>
    <n v="35"/>
    <n v="3"/>
  </r>
  <r>
    <x v="13"/>
    <x v="2"/>
    <n v="15"/>
    <n v="3"/>
  </r>
  <r>
    <x v="13"/>
    <x v="0"/>
    <n v="30"/>
    <n v="3"/>
  </r>
  <r>
    <x v="14"/>
    <x v="3"/>
    <n v="15"/>
    <n v="2"/>
  </r>
  <r>
    <x v="14"/>
    <x v="3"/>
    <n v="15"/>
    <n v="2"/>
  </r>
  <r>
    <x v="14"/>
    <x v="3"/>
    <n v="12"/>
    <n v="2"/>
  </r>
  <r>
    <x v="14"/>
    <x v="2"/>
    <n v="18"/>
    <n v="2"/>
  </r>
  <r>
    <x v="14"/>
    <x v="1"/>
    <n v="40"/>
    <n v="2"/>
  </r>
  <r>
    <x v="14"/>
    <x v="0"/>
    <n v="30"/>
    <n v="2"/>
  </r>
  <r>
    <x v="14"/>
    <x v="2"/>
    <n v="16"/>
    <n v="2"/>
  </r>
  <r>
    <x v="14"/>
    <x v="3"/>
    <n v="12"/>
    <n v="2"/>
  </r>
  <r>
    <x v="14"/>
    <x v="0"/>
    <n v="30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2">
  <r>
    <x v="0"/>
    <x v="0"/>
    <x v="0"/>
    <n v="56"/>
    <d v="1899-12-30T01:00:00"/>
    <m/>
    <m/>
    <m/>
  </r>
  <r>
    <x v="0"/>
    <x v="1"/>
    <x v="1"/>
    <n v="56"/>
    <d v="1899-12-30T01:30:00"/>
    <m/>
    <m/>
    <m/>
  </r>
  <r>
    <x v="1"/>
    <x v="2"/>
    <x v="2"/>
    <n v="55"/>
    <d v="1899-12-30T02:25:00"/>
    <m/>
    <d v="1899-12-30T00:00:00"/>
    <d v="1899-12-30T02:25:00"/>
  </r>
  <r>
    <x v="2"/>
    <x v="3"/>
    <x v="3"/>
    <n v="54"/>
    <d v="1899-12-30T00:21:00"/>
    <m/>
    <d v="1899-12-30T12:45:00"/>
    <d v="1899-12-30T13:06:00"/>
  </r>
  <r>
    <x v="3"/>
    <x v="0"/>
    <x v="0"/>
    <n v="53"/>
    <d v="1899-12-30T01:00:00"/>
    <m/>
    <m/>
    <m/>
  </r>
  <r>
    <x v="3"/>
    <x v="1"/>
    <x v="1"/>
    <n v="53"/>
    <d v="1899-12-30T01:00:00"/>
    <m/>
    <m/>
    <m/>
  </r>
  <r>
    <x v="4"/>
    <x v="0"/>
    <x v="0"/>
    <n v="52"/>
    <d v="1899-12-30T01:30:00"/>
    <m/>
    <m/>
    <m/>
  </r>
  <r>
    <x v="4"/>
    <x v="2"/>
    <x v="4"/>
    <n v="52"/>
    <d v="1899-12-30T00:30:00"/>
    <m/>
    <m/>
    <m/>
  </r>
  <r>
    <x v="5"/>
    <x v="0"/>
    <x v="0"/>
    <n v="51"/>
    <d v="1899-12-30T00:45:00"/>
    <m/>
    <m/>
    <m/>
  </r>
  <r>
    <x v="5"/>
    <x v="1"/>
    <x v="5"/>
    <n v="51"/>
    <d v="1899-12-30T01:05:00"/>
    <m/>
    <m/>
    <m/>
  </r>
  <r>
    <x v="6"/>
    <x v="0"/>
    <x v="0"/>
    <n v="50"/>
    <d v="1899-12-30T01:00:00"/>
    <m/>
    <m/>
    <m/>
  </r>
  <r>
    <x v="7"/>
    <x v="0"/>
    <x v="0"/>
    <n v="49"/>
    <d v="1899-12-30T01:00:00"/>
    <m/>
    <m/>
    <m/>
  </r>
  <r>
    <x v="8"/>
    <x v="2"/>
    <x v="6"/>
    <n v="48"/>
    <d v="1899-12-30T00:53:00"/>
    <m/>
    <d v="1899-12-30T14:37:00"/>
    <d v="1899-12-30T15:30:00"/>
  </r>
  <r>
    <x v="9"/>
    <x v="4"/>
    <x v="7"/>
    <n v="46"/>
    <d v="1899-12-30T00:45:00"/>
    <m/>
    <m/>
    <m/>
  </r>
  <r>
    <x v="10"/>
    <x v="0"/>
    <x v="0"/>
    <n v="45"/>
    <d v="1899-12-30T01:00:00"/>
    <m/>
    <m/>
    <m/>
  </r>
  <r>
    <x v="10"/>
    <x v="4"/>
    <x v="7"/>
    <n v="45"/>
    <d v="1899-12-30T00:30:00"/>
    <m/>
    <m/>
    <m/>
  </r>
  <r>
    <x v="11"/>
    <x v="0"/>
    <x v="0"/>
    <n v="44"/>
    <d v="1899-12-30T01:00:00"/>
    <m/>
    <m/>
    <m/>
  </r>
  <r>
    <x v="11"/>
    <x v="4"/>
    <x v="7"/>
    <n v="44"/>
    <d v="1899-12-30T00:30:00"/>
    <m/>
    <m/>
    <m/>
  </r>
  <r>
    <x v="11"/>
    <x v="1"/>
    <x v="1"/>
    <n v="44"/>
    <d v="1899-12-30T01:00:00"/>
    <m/>
    <m/>
    <m/>
  </r>
  <r>
    <x v="11"/>
    <x v="1"/>
    <x v="5"/>
    <n v="44"/>
    <d v="1899-12-30T01:30:00"/>
    <m/>
    <m/>
    <m/>
  </r>
  <r>
    <x v="11"/>
    <x v="5"/>
    <x v="8"/>
    <n v="44"/>
    <d v="1899-12-30T01:04:00"/>
    <m/>
    <d v="1899-12-30T19:41:00"/>
    <d v="1899-12-30T20:45:00"/>
  </r>
  <r>
    <x v="12"/>
    <x v="0"/>
    <x v="0"/>
    <n v="43"/>
    <d v="1899-12-30T01:10:00"/>
    <m/>
    <m/>
    <m/>
  </r>
  <r>
    <x v="12"/>
    <x v="5"/>
    <x v="9"/>
    <n v="43"/>
    <d v="1899-12-30T00:30:00"/>
    <m/>
    <m/>
    <m/>
  </r>
  <r>
    <x v="12"/>
    <x v="2"/>
    <x v="10"/>
    <n v="43"/>
    <d v="1899-12-30T01:00:00"/>
    <m/>
    <m/>
    <m/>
  </r>
  <r>
    <x v="13"/>
    <x v="0"/>
    <x v="0"/>
    <n v="42"/>
    <d v="1899-12-30T01:00:00"/>
    <m/>
    <m/>
    <m/>
  </r>
  <r>
    <x v="13"/>
    <x v="4"/>
    <x v="7"/>
    <n v="42"/>
    <d v="1899-12-30T00:45:00"/>
    <m/>
    <m/>
    <m/>
  </r>
  <r>
    <x v="13"/>
    <x v="2"/>
    <x v="10"/>
    <n v="42"/>
    <d v="1899-12-30T01:00:00"/>
    <m/>
    <m/>
    <m/>
  </r>
  <r>
    <x v="14"/>
    <x v="5"/>
    <x v="9"/>
    <n v="41"/>
    <d v="1899-12-30T00:30:00"/>
    <m/>
    <m/>
    <m/>
  </r>
  <r>
    <x v="14"/>
    <x v="2"/>
    <x v="10"/>
    <n v="41"/>
    <d v="1899-12-30T02:30:00"/>
    <m/>
    <m/>
    <m/>
  </r>
  <r>
    <x v="15"/>
    <x v="1"/>
    <x v="1"/>
    <n v="40"/>
    <d v="1899-12-30T00:45:00"/>
    <m/>
    <m/>
    <m/>
  </r>
  <r>
    <x v="15"/>
    <x v="1"/>
    <x v="5"/>
    <n v="40"/>
    <d v="1899-12-30T00:30:00"/>
    <m/>
    <m/>
    <m/>
  </r>
  <r>
    <x v="15"/>
    <x v="5"/>
    <x v="9"/>
    <n v="40"/>
    <d v="1899-12-30T00:45:00"/>
    <s v="初步了解mathematica"/>
    <m/>
    <m/>
  </r>
  <r>
    <x v="16"/>
    <x v="2"/>
    <x v="10"/>
    <n v="39"/>
    <d v="1899-12-30T01:00:00"/>
    <m/>
    <m/>
    <m/>
  </r>
  <r>
    <x v="16"/>
    <x v="0"/>
    <x v="0"/>
    <n v="39"/>
    <d v="1899-12-30T01:00:00"/>
    <m/>
    <m/>
    <m/>
  </r>
  <r>
    <x v="16"/>
    <x v="4"/>
    <x v="7"/>
    <n v="39"/>
    <d v="1899-12-30T00:30:00"/>
    <m/>
    <m/>
    <m/>
  </r>
  <r>
    <x v="16"/>
    <x v="6"/>
    <x v="11"/>
    <n v="39"/>
    <d v="1899-12-30T01:15:00"/>
    <m/>
    <m/>
    <m/>
  </r>
  <r>
    <x v="17"/>
    <x v="0"/>
    <x v="0"/>
    <n v="38"/>
    <d v="1899-12-30T00:30:00"/>
    <s v="第24讲是宏表函数，觉得并没有什么用，没怎么看"/>
    <m/>
    <m/>
  </r>
  <r>
    <x v="17"/>
    <x v="4"/>
    <x v="7"/>
    <n v="38"/>
    <d v="1899-12-30T00:30:00"/>
    <m/>
    <m/>
    <m/>
  </r>
  <r>
    <x v="18"/>
    <x v="0"/>
    <x v="12"/>
    <n v="37"/>
    <d v="1899-12-30T01:00:00"/>
    <m/>
    <m/>
    <m/>
  </r>
  <r>
    <x v="18"/>
    <x v="6"/>
    <x v="11"/>
    <n v="37"/>
    <d v="1899-12-30T00:45:00"/>
    <m/>
    <m/>
    <m/>
  </r>
  <r>
    <x v="19"/>
    <x v="6"/>
    <x v="11"/>
    <n v="36"/>
    <d v="1899-12-30T01:00:00"/>
    <m/>
    <m/>
    <m/>
  </r>
  <r>
    <x v="19"/>
    <x v="4"/>
    <x v="7"/>
    <n v="36"/>
    <d v="1899-12-30T00:40:00"/>
    <m/>
    <m/>
    <m/>
  </r>
  <r>
    <x v="20"/>
    <x v="6"/>
    <x v="11"/>
    <n v="35"/>
    <d v="1899-12-30T01:10:00"/>
    <m/>
    <m/>
    <m/>
  </r>
  <r>
    <x v="20"/>
    <x v="4"/>
    <x v="7"/>
    <n v="35"/>
    <d v="1899-12-30T00:30:00"/>
    <m/>
    <m/>
    <m/>
  </r>
  <r>
    <x v="21"/>
    <x v="2"/>
    <x v="13"/>
    <n v="33"/>
    <d v="1899-12-30T02:00:00"/>
    <m/>
    <m/>
    <m/>
  </r>
  <r>
    <x v="22"/>
    <x v="4"/>
    <x v="7"/>
    <n v="32"/>
    <d v="1899-12-30T00:30:00"/>
    <m/>
    <m/>
    <m/>
  </r>
  <r>
    <x v="22"/>
    <x v="0"/>
    <x v="12"/>
    <n v="32"/>
    <d v="1899-12-30T01:00:00"/>
    <m/>
    <m/>
    <m/>
  </r>
  <r>
    <x v="22"/>
    <x v="6"/>
    <x v="11"/>
    <n v="32"/>
    <d v="1899-12-30T00:30:00"/>
    <m/>
    <m/>
    <m/>
  </r>
  <r>
    <x v="22"/>
    <x v="2"/>
    <x v="13"/>
    <n v="32"/>
    <d v="1899-12-30T01:00:00"/>
    <m/>
    <m/>
    <m/>
  </r>
  <r>
    <x v="22"/>
    <x v="2"/>
    <x v="13"/>
    <n v="32"/>
    <d v="1899-12-30T00:30:00"/>
    <m/>
    <m/>
    <m/>
  </r>
  <r>
    <x v="23"/>
    <x v="6"/>
    <x v="11"/>
    <n v="31"/>
    <d v="1899-12-30T00:45:00"/>
    <m/>
    <m/>
    <m/>
  </r>
  <r>
    <x v="23"/>
    <x v="4"/>
    <x v="7"/>
    <n v="31"/>
    <d v="1899-12-30T00:30:00"/>
    <m/>
    <m/>
    <m/>
  </r>
  <r>
    <x v="23"/>
    <x v="0"/>
    <x v="12"/>
    <n v="31"/>
    <d v="1899-12-30T00:45:00"/>
    <m/>
    <m/>
    <m/>
  </r>
  <r>
    <x v="23"/>
    <x v="2"/>
    <x v="14"/>
    <n v="31"/>
    <d v="1899-12-30T01:00:00"/>
    <m/>
    <m/>
    <m/>
  </r>
  <r>
    <x v="24"/>
    <x v="6"/>
    <x v="11"/>
    <n v="30"/>
    <d v="1899-12-30T00:45:00"/>
    <m/>
    <m/>
    <m/>
  </r>
  <r>
    <x v="24"/>
    <x v="4"/>
    <x v="7"/>
    <n v="30"/>
    <d v="1899-12-30T00:30:00"/>
    <m/>
    <m/>
    <m/>
  </r>
  <r>
    <x v="24"/>
    <x v="2"/>
    <x v="13"/>
    <n v="30"/>
    <d v="1899-12-30T00:30:00"/>
    <m/>
    <m/>
    <m/>
  </r>
  <r>
    <x v="25"/>
    <x v="2"/>
    <x v="13"/>
    <n v="29"/>
    <d v="1899-12-30T01:15:00"/>
    <m/>
    <m/>
    <m/>
  </r>
  <r>
    <x v="25"/>
    <x v="6"/>
    <x v="11"/>
    <n v="29"/>
    <d v="1899-12-30T00:30:00"/>
    <m/>
    <m/>
    <m/>
  </r>
  <r>
    <x v="25"/>
    <x v="5"/>
    <x v="9"/>
    <n v="29"/>
    <d v="1899-12-30T00:45:00"/>
    <m/>
    <m/>
    <m/>
  </r>
  <r>
    <x v="25"/>
    <x v="4"/>
    <x v="7"/>
    <n v="29"/>
    <d v="1899-12-30T00:45:00"/>
    <m/>
    <m/>
    <m/>
  </r>
  <r>
    <x v="25"/>
    <x v="0"/>
    <x v="12"/>
    <n v="29"/>
    <d v="1899-12-30T01:00:00"/>
    <m/>
    <m/>
    <m/>
  </r>
  <r>
    <x v="25"/>
    <x v="2"/>
    <x v="14"/>
    <n v="29"/>
    <d v="1899-12-30T02:00:00"/>
    <m/>
    <m/>
    <m/>
  </r>
  <r>
    <x v="26"/>
    <x v="6"/>
    <x v="11"/>
    <n v="28"/>
    <d v="1899-12-30T00:50:00"/>
    <m/>
    <m/>
    <m/>
  </r>
  <r>
    <x v="26"/>
    <x v="4"/>
    <x v="7"/>
    <n v="28"/>
    <d v="1899-12-30T00:40:00"/>
    <m/>
    <m/>
    <m/>
  </r>
  <r>
    <x v="26"/>
    <x v="2"/>
    <x v="10"/>
    <n v="28"/>
    <d v="1899-12-30T00:40:00"/>
    <m/>
    <m/>
    <m/>
  </r>
  <r>
    <x v="26"/>
    <x v="0"/>
    <x v="12"/>
    <n v="28"/>
    <d v="1899-12-30T01:00:00"/>
    <m/>
    <m/>
    <m/>
  </r>
  <r>
    <x v="26"/>
    <x v="2"/>
    <x v="14"/>
    <n v="28"/>
    <d v="1899-12-30T02:00:00"/>
    <m/>
    <m/>
    <m/>
  </r>
  <r>
    <x v="27"/>
    <x v="2"/>
    <x v="14"/>
    <n v="27"/>
    <d v="1899-12-30T01:25:00"/>
    <s v="学习起来比较困难，搁浅"/>
    <m/>
    <m/>
  </r>
  <r>
    <x v="28"/>
    <x v="2"/>
    <x v="13"/>
    <n v="26"/>
    <d v="1899-12-30T00:30:00"/>
    <m/>
    <m/>
    <m/>
  </r>
  <r>
    <x v="28"/>
    <x v="4"/>
    <x v="7"/>
    <n v="26"/>
    <d v="1899-12-30T00:30:00"/>
    <m/>
    <m/>
    <m/>
  </r>
  <r>
    <x v="29"/>
    <x v="4"/>
    <x v="7"/>
    <n v="25"/>
    <d v="1899-12-30T00:35:00"/>
    <m/>
    <m/>
    <m/>
  </r>
  <r>
    <x v="29"/>
    <x v="0"/>
    <x v="12"/>
    <n v="25"/>
    <d v="1899-12-30T00:30:00"/>
    <m/>
    <m/>
    <m/>
  </r>
  <r>
    <x v="29"/>
    <x v="2"/>
    <x v="13"/>
    <n v="25"/>
    <d v="1899-12-30T00:45:00"/>
    <m/>
    <m/>
    <m/>
  </r>
  <r>
    <x v="30"/>
    <x v="4"/>
    <x v="7"/>
    <n v="24"/>
    <d v="1899-12-30T00:45:00"/>
    <m/>
    <m/>
    <m/>
  </r>
  <r>
    <x v="30"/>
    <x v="6"/>
    <x v="11"/>
    <n v="24"/>
    <d v="1899-12-30T01:00:00"/>
    <m/>
    <m/>
    <m/>
  </r>
  <r>
    <x v="31"/>
    <x v="4"/>
    <x v="7"/>
    <n v="23"/>
    <d v="1899-12-30T00:45:00"/>
    <m/>
    <m/>
    <m/>
  </r>
  <r>
    <x v="31"/>
    <x v="6"/>
    <x v="11"/>
    <n v="23"/>
    <d v="1899-12-30T01:00:00"/>
    <m/>
    <m/>
    <m/>
  </r>
  <r>
    <x v="32"/>
    <x v="6"/>
    <x v="11"/>
    <n v="22"/>
    <d v="1899-12-30T01:15:00"/>
    <m/>
    <m/>
    <m/>
  </r>
  <r>
    <x v="32"/>
    <x v="0"/>
    <x v="12"/>
    <n v="22"/>
    <d v="1899-12-30T01:30:00"/>
    <m/>
    <m/>
    <m/>
  </r>
  <r>
    <x v="32"/>
    <x v="5"/>
    <x v="9"/>
    <n v="22"/>
    <d v="1899-12-30T00:30:00"/>
    <m/>
    <m/>
    <m/>
  </r>
  <r>
    <x v="33"/>
    <x v="4"/>
    <x v="7"/>
    <n v="21"/>
    <d v="1899-12-30T00:45:00"/>
    <m/>
    <m/>
    <m/>
  </r>
  <r>
    <x v="34"/>
    <x v="5"/>
    <x v="8"/>
    <n v="19"/>
    <d v="1899-12-30T01:08:00"/>
    <m/>
    <d v="1899-12-30T11:02:00"/>
    <d v="1899-12-30T12:10:00"/>
  </r>
  <r>
    <x v="34"/>
    <x v="5"/>
    <x v="8"/>
    <n v="19"/>
    <d v="1899-12-30T01:00:00"/>
    <m/>
    <m/>
    <m/>
  </r>
  <r>
    <x v="35"/>
    <x v="4"/>
    <x v="7"/>
    <n v="18"/>
    <d v="1899-12-30T00:40:00"/>
    <m/>
    <m/>
    <m/>
  </r>
  <r>
    <x v="35"/>
    <x v="6"/>
    <x v="11"/>
    <n v="18"/>
    <d v="1899-12-30T01:00:00"/>
    <m/>
    <m/>
    <m/>
  </r>
  <r>
    <x v="36"/>
    <x v="6"/>
    <x v="11"/>
    <n v="17"/>
    <d v="1899-12-30T01:00:00"/>
    <m/>
    <m/>
    <m/>
  </r>
  <r>
    <x v="36"/>
    <x v="2"/>
    <x v="15"/>
    <n v="17"/>
    <d v="1899-12-30T01:00:00"/>
    <m/>
    <m/>
    <m/>
  </r>
  <r>
    <x v="36"/>
    <x v="4"/>
    <x v="7"/>
    <n v="17"/>
    <d v="1899-12-30T00:30:00"/>
    <m/>
    <m/>
    <m/>
  </r>
  <r>
    <x v="36"/>
    <x v="2"/>
    <x v="13"/>
    <n v="17"/>
    <d v="1899-12-30T02:00:00"/>
    <s v="9.学习OS SCHED  PY2EXE库"/>
    <m/>
    <m/>
  </r>
  <r>
    <x v="37"/>
    <x v="0"/>
    <x v="12"/>
    <n v="16"/>
    <d v="1899-12-30T01:00:00"/>
    <m/>
    <m/>
    <m/>
  </r>
  <r>
    <x v="37"/>
    <x v="4"/>
    <x v="7"/>
    <n v="16"/>
    <d v="1899-12-30T00:35:00"/>
    <m/>
    <m/>
    <m/>
  </r>
  <r>
    <x v="37"/>
    <x v="6"/>
    <x v="11"/>
    <n v="16"/>
    <d v="1899-12-30T01:00:00"/>
    <m/>
    <m/>
    <m/>
  </r>
  <r>
    <x v="37"/>
    <x v="2"/>
    <x v="13"/>
    <n v="16"/>
    <d v="1899-12-30T01:30:00"/>
    <m/>
    <m/>
    <m/>
  </r>
  <r>
    <x v="38"/>
    <x v="6"/>
    <x v="11"/>
    <n v="15"/>
    <d v="1899-12-30T00:40:00"/>
    <m/>
    <m/>
    <m/>
  </r>
  <r>
    <x v="38"/>
    <x v="4"/>
    <x v="7"/>
    <n v="15"/>
    <d v="1899-12-30T00:45:00"/>
    <m/>
    <m/>
    <m/>
  </r>
  <r>
    <x v="38"/>
    <x v="0"/>
    <x v="12"/>
    <n v="15"/>
    <d v="1899-12-30T00:30:00"/>
    <m/>
    <m/>
    <m/>
  </r>
  <r>
    <x v="39"/>
    <x v="6"/>
    <x v="11"/>
    <n v="14"/>
    <d v="1899-12-30T00:30:00"/>
    <m/>
    <m/>
    <m/>
  </r>
  <r>
    <x v="39"/>
    <x v="4"/>
    <x v="7"/>
    <n v="14"/>
    <d v="1899-12-30T00:30:00"/>
    <m/>
    <m/>
    <m/>
  </r>
  <r>
    <x v="39"/>
    <x v="0"/>
    <x v="12"/>
    <n v="14"/>
    <d v="1899-12-30T00:45:00"/>
    <m/>
    <m/>
    <m/>
  </r>
  <r>
    <x v="40"/>
    <x v="2"/>
    <x v="16"/>
    <n v="12"/>
    <d v="1899-12-30T04:00:00"/>
    <s v="C6 Data loading, storage, and file formats "/>
    <m/>
    <m/>
  </r>
  <r>
    <x v="41"/>
    <x v="2"/>
    <x v="16"/>
    <n v="11"/>
    <d v="1899-12-30T02:30:00"/>
    <m/>
    <m/>
    <m/>
  </r>
  <r>
    <x v="41"/>
    <x v="4"/>
    <x v="7"/>
    <n v="11"/>
    <d v="1899-12-30T00:30:00"/>
    <m/>
    <m/>
    <m/>
  </r>
  <r>
    <x v="42"/>
    <x v="4"/>
    <x v="7"/>
    <n v="10"/>
    <d v="1899-12-30T00:30:00"/>
    <m/>
    <m/>
    <m/>
  </r>
  <r>
    <x v="43"/>
    <x v="2"/>
    <x v="16"/>
    <n v="9"/>
    <d v="1899-12-30T02:30:00"/>
    <s v="8.matplotlib"/>
    <m/>
    <m/>
  </r>
  <r>
    <x v="44"/>
    <x v="2"/>
    <x v="16"/>
    <n v="8"/>
    <d v="1899-12-30T02:30:00"/>
    <s v="8.matplotlib"/>
    <m/>
    <m/>
  </r>
  <r>
    <x v="45"/>
    <x v="4"/>
    <x v="7"/>
    <n v="4"/>
    <d v="1899-12-30T00:45:00"/>
    <m/>
    <m/>
    <m/>
  </r>
  <r>
    <x v="45"/>
    <x v="2"/>
    <x v="2"/>
    <n v="4"/>
    <m/>
    <s v="p14"/>
    <m/>
    <m/>
  </r>
  <r>
    <x v="46"/>
    <x v="4"/>
    <x v="7"/>
    <n v="3"/>
    <d v="1899-12-30T00:45:00"/>
    <m/>
    <m/>
    <m/>
  </r>
  <r>
    <x v="46"/>
    <x v="2"/>
    <x v="17"/>
    <n v="3"/>
    <d v="1899-12-30T05:00:00"/>
    <m/>
    <m/>
    <m/>
  </r>
  <r>
    <x v="47"/>
    <x v="4"/>
    <x v="7"/>
    <n v="2"/>
    <d v="1899-12-30T00:30:00"/>
    <m/>
    <m/>
    <m/>
  </r>
  <r>
    <x v="47"/>
    <x v="6"/>
    <x v="11"/>
    <n v="2"/>
    <d v="1899-12-30T01:0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33:F139" firstHeaderRow="1" firstDataRow="2" firstDataCol="2"/>
  <pivotFields count="8">
    <pivotField axis="axisCol" compact="0" numFmtId="181" outline="0" showAll="0" sortType="descending">
      <items count="49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5">
    <i>
      <x/>
      <x v="6"/>
    </i>
    <i>
      <x v="3"/>
      <x v="10"/>
    </i>
    <i r="1">
      <x v="18"/>
    </i>
    <i>
      <x v="6"/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8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46">
      <pivotArea dataOnly="0" labelOnly="1" fieldPosition="0">
        <references count="1">
          <reference field="0" count="1">
            <x v="18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G59:J65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 v="298"/>
    </i>
    <i>
      <x v="299"/>
    </i>
    <i t="grand">
      <x/>
    </i>
  </colItems>
  <dataFields count="1">
    <dataField name="计数项:次数/时长" fld="2" subtotal="count" baseField="1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4">
  <autoFilter ref="A1:H114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69" totalsRowShown="0">
  <autoFilter ref="A1:D69"/>
  <tableColumns count="4">
    <tableColumn id="1" name="时间" dataDxfId="27"/>
    <tableColumn id="2" name="项目"/>
    <tableColumn id="4" name="次数/时长" dataDxfId="26"/>
    <tableColumn id="3" name="距离今天" dataDxfId="25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8</v>
      </c>
      <c r="H3" s="13">
        <f ca="1">H2-TODAY()</f>
        <v>52</v>
      </c>
      <c r="I3" s="13">
        <f ca="1">I2-TODAY()</f>
        <v>112</v>
      </c>
      <c r="J3" s="13">
        <f ca="1">J2-TODAY()</f>
        <v>190</v>
      </c>
      <c r="K3" s="13">
        <f ca="1">K2-TODAY()</f>
        <v>372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83" priority="1">
      <formula>$A1="graduate"</formula>
    </cfRule>
    <cfRule type="expression" dxfId="82" priority="2">
      <formula>$A1="CS"</formula>
    </cfRule>
    <cfRule type="expression" dxfId="81" priority="3">
      <formula>$A1="python"</formula>
    </cfRule>
  </conditionalFormatting>
  <conditionalFormatting sqref="B22:D22">
    <cfRule type="expression" dxfId="80" priority="13">
      <formula>$A30="graduate"</formula>
    </cfRule>
    <cfRule type="expression" dxfId="79" priority="14">
      <formula>$A30="CS"</formula>
    </cfRule>
    <cfRule type="expression" dxfId="7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0.73611111111111138</v>
      </c>
    </row>
    <row r="3" spans="1:7">
      <c r="A3" s="2" t="s">
        <v>116</v>
      </c>
      <c r="C3" s="3" t="s">
        <v>118</v>
      </c>
      <c r="D3" s="4">
        <v>1</v>
      </c>
      <c r="E3" s="5">
        <f>SUMIF(学习记录!C:C,C3,学习记录!E:E)</f>
        <v>0.69444444444444442</v>
      </c>
    </row>
    <row r="4" spans="1:7">
      <c r="A4" s="2" t="s">
        <v>165</v>
      </c>
      <c r="C4" s="2" t="s">
        <v>167</v>
      </c>
      <c r="D4" s="4">
        <v>1</v>
      </c>
      <c r="E4" s="5">
        <f>SUMIF(学习记录!C:C,C4,学习记录!E:E)</f>
        <v>0.47916666666666669</v>
      </c>
    </row>
    <row r="5" spans="1:7">
      <c r="A5" s="2" t="s">
        <v>37</v>
      </c>
      <c r="C5" s="2" t="s">
        <v>151</v>
      </c>
      <c r="D5" s="4">
        <v>1</v>
      </c>
      <c r="E5" s="5">
        <f>SUMIF(学习记录!C:C,C5,学习记录!E:E)</f>
        <v>0.41666666666666669</v>
      </c>
    </row>
    <row r="6" spans="1:7">
      <c r="A6" s="2" t="s">
        <v>154</v>
      </c>
      <c r="C6" s="2" t="s">
        <v>156</v>
      </c>
      <c r="D6" s="4">
        <v>1</v>
      </c>
      <c r="E6" s="5">
        <f>SUMIF(学习记录!C:C,C6,学习记录!E:E)</f>
        <v>0.2673611111111111</v>
      </c>
    </row>
    <row r="7" spans="1:7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>
      <c r="A13" s="2" t="s">
        <v>173</v>
      </c>
      <c r="C13" s="24" t="s">
        <v>175</v>
      </c>
      <c r="D13" s="4">
        <v>1</v>
      </c>
      <c r="E13" s="5">
        <f>SUMIF(学习记录!C:C,C13,学习记录!E:E)</f>
        <v>0.41666666666666669</v>
      </c>
    </row>
    <row r="14" spans="1:7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77" priority="6">
      <formula>$D1=1</formula>
    </cfRule>
  </conditionalFormatting>
  <conditionalFormatting sqref="A1:G1048576">
    <cfRule type="expression" dxfId="7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0" t="s">
        <v>148</v>
      </c>
    </row>
    <row r="2" spans="1:6">
      <c r="A2" s="39"/>
      <c r="B2" s="39"/>
    </row>
    <row r="3" spans="1:6">
      <c r="A3" s="39"/>
      <c r="B3" s="39" t="s">
        <v>141</v>
      </c>
      <c r="C3" s="40">
        <v>1</v>
      </c>
    </row>
    <row r="4" spans="1:6">
      <c r="B4" t="s">
        <v>137</v>
      </c>
      <c r="C4" s="40">
        <v>1</v>
      </c>
    </row>
    <row r="5" spans="1:6">
      <c r="B5" t="s">
        <v>138</v>
      </c>
      <c r="C5" s="40">
        <v>1</v>
      </c>
    </row>
    <row r="6" spans="1:6">
      <c r="B6" t="s">
        <v>139</v>
      </c>
      <c r="C6" s="40">
        <v>1</v>
      </c>
    </row>
    <row r="7" spans="1:6">
      <c r="B7" t="s">
        <v>140</v>
      </c>
      <c r="C7" s="40">
        <v>1</v>
      </c>
    </row>
    <row r="8" spans="1:6">
      <c r="B8" t="s">
        <v>147</v>
      </c>
      <c r="C8" s="40">
        <v>1</v>
      </c>
    </row>
    <row r="9" spans="1:6">
      <c r="B9" s="39" t="s">
        <v>160</v>
      </c>
      <c r="C9" s="40">
        <v>1</v>
      </c>
    </row>
    <row r="13" spans="1:6">
      <c r="E13" s="40"/>
      <c r="F13" s="40"/>
    </row>
    <row r="14" spans="1:6">
      <c r="E14" s="38"/>
      <c r="F14" s="40"/>
    </row>
    <row r="15" spans="1:6">
      <c r="E15" s="38"/>
      <c r="F15" s="40"/>
    </row>
    <row r="16" spans="1:6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tabSelected="1" topLeftCell="A101" workbookViewId="0">
      <selection activeCell="E115" sqref="E115"/>
    </sheetView>
  </sheetViews>
  <sheetFormatPr defaultColWidth="9" defaultRowHeight="13.5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3" t="s">
        <v>31</v>
      </c>
      <c r="B1" s="38" t="s">
        <v>164</v>
      </c>
      <c r="C1" t="s">
        <v>32</v>
      </c>
      <c r="D1" s="35" t="s">
        <v>0</v>
      </c>
      <c r="E1" s="36" t="s">
        <v>3</v>
      </c>
      <c r="F1" s="45" t="s">
        <v>152</v>
      </c>
      <c r="G1" s="1" t="s">
        <v>1</v>
      </c>
      <c r="H1" s="1" t="s">
        <v>2</v>
      </c>
    </row>
    <row r="2" spans="1:8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56</v>
      </c>
      <c r="E2" s="34">
        <v>4.1666666666666699E-2</v>
      </c>
    </row>
    <row r="3" spans="1:8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56</v>
      </c>
      <c r="E3" s="34">
        <v>6.25E-2</v>
      </c>
    </row>
    <row r="4" spans="1:8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55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54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53</v>
      </c>
      <c r="E6" s="34">
        <v>4.1666666666666699E-2</v>
      </c>
    </row>
    <row r="7" spans="1:8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53</v>
      </c>
      <c r="E7" s="34">
        <v>4.1666666666666664E-2</v>
      </c>
    </row>
    <row r="8" spans="1:8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52</v>
      </c>
      <c r="E8" s="34">
        <v>6.25E-2</v>
      </c>
    </row>
    <row r="9" spans="1:8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52</v>
      </c>
      <c r="E9" s="34">
        <v>2.0833333333333332E-2</v>
      </c>
    </row>
    <row r="10" spans="1:8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51</v>
      </c>
      <c r="E10" s="34">
        <v>3.125E-2</v>
      </c>
    </row>
    <row r="11" spans="1:8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51</v>
      </c>
      <c r="E11" s="34">
        <v>4.5138888888888888E-2</v>
      </c>
    </row>
    <row r="12" spans="1:8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50</v>
      </c>
      <c r="E12" s="34">
        <v>4.1666666666666664E-2</v>
      </c>
    </row>
    <row r="13" spans="1:8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49</v>
      </c>
      <c r="E13" s="34">
        <v>4.1666666666666664E-2</v>
      </c>
    </row>
    <row r="14" spans="1:8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48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46</v>
      </c>
      <c r="E15" s="34">
        <v>3.125E-2</v>
      </c>
    </row>
    <row r="16" spans="1:8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45</v>
      </c>
      <c r="E16" s="34">
        <v>4.1666666666666664E-2</v>
      </c>
    </row>
    <row r="17" spans="1:8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45</v>
      </c>
      <c r="E17" s="34">
        <v>2.0833333333333332E-2</v>
      </c>
    </row>
    <row r="18" spans="1:8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44</v>
      </c>
      <c r="E18" s="34">
        <v>4.1666666666666664E-2</v>
      </c>
    </row>
    <row r="19" spans="1:8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44</v>
      </c>
      <c r="E19" s="34">
        <v>2.0833333333333332E-2</v>
      </c>
    </row>
    <row r="20" spans="1:8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44</v>
      </c>
      <c r="E20" s="34">
        <v>4.1666666666666664E-2</v>
      </c>
    </row>
    <row r="21" spans="1:8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44</v>
      </c>
      <c r="E21" s="34">
        <v>6.25E-2</v>
      </c>
    </row>
    <row r="22" spans="1:8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44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43</v>
      </c>
      <c r="E23" s="34">
        <v>4.8611111111111112E-2</v>
      </c>
    </row>
    <row r="24" spans="1:8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43</v>
      </c>
      <c r="E24" s="34">
        <v>2.0833333333333332E-2</v>
      </c>
    </row>
    <row r="25" spans="1:8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43</v>
      </c>
      <c r="E25" s="34">
        <v>4.1666666666666664E-2</v>
      </c>
    </row>
    <row r="26" spans="1:8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42</v>
      </c>
      <c r="E26" s="34">
        <v>4.1666666666666664E-2</v>
      </c>
    </row>
    <row r="27" spans="1:8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42</v>
      </c>
      <c r="E27" s="34">
        <v>3.125E-2</v>
      </c>
    </row>
    <row r="28" spans="1:8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42</v>
      </c>
      <c r="E28" s="34">
        <v>4.1666666666666664E-2</v>
      </c>
    </row>
    <row r="29" spans="1:8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41</v>
      </c>
      <c r="E29" s="34">
        <v>2.0833333333333332E-2</v>
      </c>
    </row>
    <row r="30" spans="1:8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41</v>
      </c>
      <c r="E30" s="34">
        <v>0.10416666666666667</v>
      </c>
      <c r="F30" s="41"/>
    </row>
    <row r="31" spans="1:8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40</v>
      </c>
      <c r="E31" s="34">
        <v>3.125E-2</v>
      </c>
    </row>
    <row r="32" spans="1:8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40</v>
      </c>
      <c r="E32" s="34">
        <v>2.0833333333333332E-2</v>
      </c>
    </row>
    <row r="33" spans="1:6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40</v>
      </c>
      <c r="E33" s="34">
        <v>3.125E-2</v>
      </c>
      <c r="F33" s="41" t="s">
        <v>114</v>
      </c>
    </row>
    <row r="34" spans="1:6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39</v>
      </c>
      <c r="E34" s="37">
        <v>4.1666666666666664E-2</v>
      </c>
    </row>
    <row r="35" spans="1:6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39</v>
      </c>
      <c r="E35" s="34">
        <v>4.1666666666666664E-2</v>
      </c>
    </row>
    <row r="36" spans="1:6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39</v>
      </c>
      <c r="E36" s="34">
        <v>2.0833333333333332E-2</v>
      </c>
    </row>
    <row r="37" spans="1:6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39</v>
      </c>
      <c r="E37" s="34">
        <v>5.2083333333333336E-2</v>
      </c>
    </row>
    <row r="38" spans="1:6" ht="15.75" customHeight="1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38</v>
      </c>
      <c r="E38" s="34">
        <v>2.0833333333333332E-2</v>
      </c>
      <c r="F38" s="44" t="s">
        <v>122</v>
      </c>
    </row>
    <row r="39" spans="1:6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38</v>
      </c>
      <c r="E39" s="34">
        <v>2.0833333333333332E-2</v>
      </c>
    </row>
    <row r="40" spans="1:6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37</v>
      </c>
      <c r="E40" s="34">
        <v>4.1666666666666664E-2</v>
      </c>
    </row>
    <row r="41" spans="1:6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37</v>
      </c>
      <c r="E41" s="34">
        <v>3.125E-2</v>
      </c>
    </row>
    <row r="42" spans="1:6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36</v>
      </c>
      <c r="E42" s="34">
        <v>4.1666666666666664E-2</v>
      </c>
    </row>
    <row r="43" spans="1:6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36</v>
      </c>
      <c r="E43" s="34">
        <v>2.7777777777777776E-2</v>
      </c>
    </row>
    <row r="44" spans="1:6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35</v>
      </c>
      <c r="E44" s="34">
        <v>4.8611111111111112E-2</v>
      </c>
    </row>
    <row r="45" spans="1:6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35</v>
      </c>
      <c r="E45" s="34">
        <v>2.0833333333333332E-2</v>
      </c>
    </row>
    <row r="46" spans="1:6">
      <c r="A46" s="53">
        <v>42323</v>
      </c>
      <c r="B46" s="38" t="str">
        <f>INDEX(学习总体!A:A,MATCH(表2[[#This Row],[科目]],学习总体!C:C,0))</f>
        <v>Python</v>
      </c>
      <c r="C46" t="s">
        <v>150</v>
      </c>
      <c r="D46" s="55">
        <f t="shared" ca="1" si="0"/>
        <v>33</v>
      </c>
      <c r="E46" s="34">
        <v>8.3333333333333329E-2</v>
      </c>
    </row>
    <row r="47" spans="1:6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32</v>
      </c>
      <c r="E47" s="34">
        <v>2.0833333333333332E-2</v>
      </c>
    </row>
    <row r="48" spans="1:6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32</v>
      </c>
      <c r="E48" s="34">
        <v>4.1666666666666664E-2</v>
      </c>
    </row>
    <row r="49" spans="1:5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32</v>
      </c>
      <c r="E49" s="34">
        <v>2.0833333333333332E-2</v>
      </c>
    </row>
    <row r="50" spans="1:5">
      <c r="A50" s="53">
        <v>42324</v>
      </c>
      <c r="B50" s="38" t="str">
        <f>INDEX(学习总体!A:A,MATCH(表2[[#This Row],[科目]],学习总体!C:C,0))</f>
        <v>Python</v>
      </c>
      <c r="C50" t="s">
        <v>150</v>
      </c>
      <c r="D50" s="55">
        <f t="shared" ca="1" si="0"/>
        <v>32</v>
      </c>
      <c r="E50" s="34">
        <v>4.1666666666666664E-2</v>
      </c>
    </row>
    <row r="51" spans="1:5">
      <c r="A51" s="53">
        <v>42324</v>
      </c>
      <c r="B51" s="38" t="str">
        <f>INDEX(学习总体!A:A,MATCH(表2[[#This Row],[科目]],学习总体!C:C,0))</f>
        <v>Python</v>
      </c>
      <c r="C51" t="s">
        <v>150</v>
      </c>
      <c r="D51" s="55">
        <f t="shared" ref="D51:D70" ca="1" si="1">TODAY()-A51</f>
        <v>32</v>
      </c>
      <c r="E51" s="34">
        <v>2.0833333333333332E-2</v>
      </c>
    </row>
    <row r="52" spans="1:5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31</v>
      </c>
      <c r="E52" s="34">
        <v>3.125E-2</v>
      </c>
    </row>
    <row r="53" spans="1:5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31</v>
      </c>
      <c r="E53" s="34">
        <v>2.0833333333333332E-2</v>
      </c>
    </row>
    <row r="54" spans="1:5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31</v>
      </c>
      <c r="E54" s="34">
        <v>3.125E-2</v>
      </c>
    </row>
    <row r="55" spans="1:5">
      <c r="A55" s="53">
        <v>42325</v>
      </c>
      <c r="B55" s="38" t="str">
        <f>INDEX(学习总体!A:A,MATCH(表2[[#This Row],[科目]],学习总体!C:C,0))</f>
        <v>Python</v>
      </c>
      <c r="C55" t="s">
        <v>155</v>
      </c>
      <c r="D55" s="55">
        <f t="shared" ca="1" si="1"/>
        <v>31</v>
      </c>
      <c r="E55" s="34">
        <v>4.1666666666666664E-2</v>
      </c>
    </row>
    <row r="56" spans="1:5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30</v>
      </c>
      <c r="E56" s="34">
        <v>3.125E-2</v>
      </c>
    </row>
    <row r="57" spans="1:5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30</v>
      </c>
      <c r="E57" s="34">
        <v>2.0833333333333332E-2</v>
      </c>
    </row>
    <row r="58" spans="1:5">
      <c r="A58" s="53">
        <v>42326</v>
      </c>
      <c r="B58" s="38" t="str">
        <f>INDEX(学习总体!A:A,MATCH(表2[[#This Row],[科目]],学习总体!C:C,0))</f>
        <v>Python</v>
      </c>
      <c r="C58" t="s">
        <v>150</v>
      </c>
      <c r="D58" s="55">
        <f t="shared" ca="1" si="1"/>
        <v>30</v>
      </c>
      <c r="E58" s="34">
        <v>2.0833333333333332E-2</v>
      </c>
    </row>
    <row r="59" spans="1:5">
      <c r="A59" s="53">
        <v>42327</v>
      </c>
      <c r="B59" s="38" t="str">
        <f>INDEX(学习总体!A:A,MATCH(表2[[#This Row],[科目]],学习总体!C:C,0))</f>
        <v>Python</v>
      </c>
      <c r="C59" t="s">
        <v>150</v>
      </c>
      <c r="D59" s="55">
        <f t="shared" ca="1" si="1"/>
        <v>29</v>
      </c>
      <c r="E59" s="34">
        <v>5.2083333333333336E-2</v>
      </c>
    </row>
    <row r="60" spans="1:5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29</v>
      </c>
      <c r="E60" s="34">
        <v>2.0833333333333332E-2</v>
      </c>
    </row>
    <row r="61" spans="1:5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29</v>
      </c>
      <c r="E61" s="34">
        <v>3.125E-2</v>
      </c>
    </row>
    <row r="62" spans="1:5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29</v>
      </c>
      <c r="E62" s="34">
        <v>3.125E-2</v>
      </c>
    </row>
    <row r="63" spans="1:5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29</v>
      </c>
      <c r="E63" s="34">
        <v>4.1666666666666664E-2</v>
      </c>
    </row>
    <row r="64" spans="1:5">
      <c r="A64" s="53">
        <v>42327</v>
      </c>
      <c r="B64" s="38" t="str">
        <f>INDEX(学习总体!A:A,MATCH(表2[[#This Row],[科目]],学习总体!C:C,0))</f>
        <v>Python</v>
      </c>
      <c r="C64" t="s">
        <v>155</v>
      </c>
      <c r="D64" s="55">
        <f t="shared" ca="1" si="1"/>
        <v>29</v>
      </c>
      <c r="E64" s="34">
        <v>8.3333333333333329E-2</v>
      </c>
    </row>
    <row r="65" spans="1:6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28</v>
      </c>
      <c r="E65" s="34">
        <v>3.4722222222222224E-2</v>
      </c>
    </row>
    <row r="66" spans="1:6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28</v>
      </c>
      <c r="E66" s="34">
        <v>2.7777777777777776E-2</v>
      </c>
    </row>
    <row r="67" spans="1:6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28</v>
      </c>
      <c r="E67" s="34">
        <v>2.7777777777777776E-2</v>
      </c>
    </row>
    <row r="68" spans="1:6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28</v>
      </c>
      <c r="E68" s="34">
        <v>4.1666666666666664E-2</v>
      </c>
    </row>
    <row r="69" spans="1:6">
      <c r="A69" s="53">
        <v>42328</v>
      </c>
      <c r="B69" s="38" t="str">
        <f>INDEX(学习总体!A:A,MATCH(表2[[#This Row],[科目]],学习总体!C:C,0))</f>
        <v>Python</v>
      </c>
      <c r="C69" t="s">
        <v>155</v>
      </c>
      <c r="D69" s="55">
        <f t="shared" ca="1" si="1"/>
        <v>28</v>
      </c>
      <c r="E69" s="34">
        <v>8.3333333333333329E-2</v>
      </c>
    </row>
    <row r="70" spans="1:6">
      <c r="A70" s="53">
        <v>42329</v>
      </c>
      <c r="B70" s="38" t="str">
        <f>INDEX(学习总体!A:A,MATCH(表2[[#This Row],[科目]],学习总体!C:C,0))</f>
        <v>Python</v>
      </c>
      <c r="C70" t="s">
        <v>155</v>
      </c>
      <c r="D70" s="55">
        <f t="shared" ca="1" si="1"/>
        <v>27</v>
      </c>
      <c r="E70" s="34">
        <v>5.9027777777777783E-2</v>
      </c>
      <c r="F70" s="41" t="s">
        <v>158</v>
      </c>
    </row>
    <row r="71" spans="1:6">
      <c r="A71" s="53">
        <v>42330</v>
      </c>
      <c r="B71" s="38" t="str">
        <f>INDEX(学习总体!A:A,MATCH(表2[[#This Row],[科目]],学习总体!C:C,0))</f>
        <v>Python</v>
      </c>
      <c r="C71" t="s">
        <v>150</v>
      </c>
      <c r="D71" s="55">
        <f t="shared" ref="D71:D76" ca="1" si="2">TODAY()-A71</f>
        <v>26</v>
      </c>
      <c r="E71" s="34">
        <v>2.0833333333333332E-2</v>
      </c>
    </row>
    <row r="72" spans="1:6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26</v>
      </c>
      <c r="E72" s="34">
        <v>2.0833333333333332E-2</v>
      </c>
    </row>
    <row r="73" spans="1:6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25</v>
      </c>
      <c r="E73" s="34">
        <v>2.4305555555555556E-2</v>
      </c>
    </row>
    <row r="74" spans="1:6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25</v>
      </c>
      <c r="E74" s="34">
        <v>2.0833333333333332E-2</v>
      </c>
    </row>
    <row r="75" spans="1:6">
      <c r="A75" s="53">
        <v>42331</v>
      </c>
      <c r="B75" s="38" t="str">
        <f>INDEX(学习总体!A:A,MATCH(表2[[#This Row],[科目]],学习总体!C:C,0))</f>
        <v>Python</v>
      </c>
      <c r="C75" t="s">
        <v>150</v>
      </c>
      <c r="D75" s="55">
        <f t="shared" ca="1" si="2"/>
        <v>25</v>
      </c>
      <c r="E75" s="34">
        <v>3.125E-2</v>
      </c>
    </row>
    <row r="76" spans="1:6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24</v>
      </c>
      <c r="E76" s="34">
        <v>3.125E-2</v>
      </c>
    </row>
    <row r="77" spans="1:6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24</v>
      </c>
      <c r="E77" s="34">
        <v>4.1666666666666664E-2</v>
      </c>
    </row>
    <row r="78" spans="1:6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23</v>
      </c>
      <c r="E78" s="34">
        <v>3.125E-2</v>
      </c>
    </row>
    <row r="79" spans="1:6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23</v>
      </c>
      <c r="E79" s="34">
        <v>4.1666666666666664E-2</v>
      </c>
    </row>
    <row r="80" spans="1:6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22</v>
      </c>
      <c r="E80" s="34">
        <v>5.2083333333333336E-2</v>
      </c>
    </row>
    <row r="81" spans="1:8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22</v>
      </c>
      <c r="E81" s="34">
        <v>6.25E-2</v>
      </c>
    </row>
    <row r="82" spans="1:8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22</v>
      </c>
      <c r="E82" s="34">
        <v>2.0833333333333332E-2</v>
      </c>
    </row>
    <row r="83" spans="1:8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21</v>
      </c>
      <c r="E83" s="34">
        <v>3.125E-2</v>
      </c>
    </row>
    <row r="84" spans="1:8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19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19</v>
      </c>
      <c r="E85" s="34">
        <v>4.1666666666666664E-2</v>
      </c>
    </row>
    <row r="86" spans="1:8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18</v>
      </c>
      <c r="E86" s="34">
        <v>2.7777777777777776E-2</v>
      </c>
    </row>
    <row r="87" spans="1:8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18</v>
      </c>
      <c r="E87" s="34">
        <v>4.1666666666666664E-2</v>
      </c>
    </row>
    <row r="88" spans="1:8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17</v>
      </c>
      <c r="E88" s="34">
        <v>4.1666666666666664E-2</v>
      </c>
    </row>
    <row r="89" spans="1:8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17</v>
      </c>
      <c r="E89" s="34">
        <v>4.1666666666666664E-2</v>
      </c>
    </row>
    <row r="90" spans="1:8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17</v>
      </c>
      <c r="E90" s="34">
        <v>2.0833333333333332E-2</v>
      </c>
    </row>
    <row r="91" spans="1:8">
      <c r="A91" s="53">
        <v>42339</v>
      </c>
      <c r="B91" s="38" t="str">
        <f>INDEX(学习总体!A:A,MATCH(表2[[#This Row],[科目]],学习总体!C:C,0))</f>
        <v>Python</v>
      </c>
      <c r="C91" t="s">
        <v>150</v>
      </c>
      <c r="D91" s="55">
        <f t="shared" ca="1" si="5"/>
        <v>17</v>
      </c>
      <c r="E91" s="34">
        <v>8.3333333333333329E-2</v>
      </c>
      <c r="F91" s="40" t="s">
        <v>162</v>
      </c>
    </row>
    <row r="92" spans="1:8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16</v>
      </c>
      <c r="E92" s="34">
        <v>4.1666666666666664E-2</v>
      </c>
    </row>
    <row r="93" spans="1:8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16</v>
      </c>
      <c r="E93" s="34">
        <v>2.4305555555555556E-2</v>
      </c>
    </row>
    <row r="94" spans="1:8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16</v>
      </c>
      <c r="E94" s="34">
        <v>4.1666666666666664E-2</v>
      </c>
    </row>
    <row r="95" spans="1:8">
      <c r="A95" s="53">
        <v>42340</v>
      </c>
      <c r="B95" s="38" t="str">
        <f>INDEX(学习总体!A:A,MATCH(表2[[#This Row],[科目]],学习总体!C:C,0))</f>
        <v>Python</v>
      </c>
      <c r="C95" t="s">
        <v>150</v>
      </c>
      <c r="D95" s="55">
        <f t="shared" ca="1" si="6"/>
        <v>16</v>
      </c>
      <c r="E95" s="34">
        <v>6.25E-2</v>
      </c>
    </row>
    <row r="96" spans="1:8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15</v>
      </c>
      <c r="E96" s="34">
        <v>2.7777777777777776E-2</v>
      </c>
    </row>
    <row r="97" spans="1:6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15</v>
      </c>
      <c r="E97" s="34">
        <v>3.125E-2</v>
      </c>
    </row>
    <row r="98" spans="1:6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15</v>
      </c>
      <c r="E98" s="34">
        <v>2.0833333333333332E-2</v>
      </c>
    </row>
    <row r="99" spans="1:6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14</v>
      </c>
      <c r="E99" s="34">
        <v>2.0833333333333332E-2</v>
      </c>
    </row>
    <row r="100" spans="1:6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14</v>
      </c>
      <c r="E100" s="34">
        <v>2.0833333333333332E-2</v>
      </c>
    </row>
    <row r="101" spans="1:6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14</v>
      </c>
      <c r="E101" s="34">
        <v>3.125E-2</v>
      </c>
    </row>
    <row r="102" spans="1:6">
      <c r="A102" s="53">
        <v>42344</v>
      </c>
      <c r="B102" s="38" t="str">
        <f>INDEX(学习总体!A:A,MATCH(表2[[#This Row],[科目]],学习总体!C:C,0))</f>
        <v>Python</v>
      </c>
      <c r="C102" t="s">
        <v>166</v>
      </c>
      <c r="D102" s="55">
        <f t="shared" ca="1" si="6"/>
        <v>12</v>
      </c>
      <c r="E102" s="34">
        <v>0.16666666666666666</v>
      </c>
      <c r="F102" s="41" t="s">
        <v>168</v>
      </c>
    </row>
    <row r="103" spans="1:6">
      <c r="A103" s="53">
        <v>42345</v>
      </c>
      <c r="B103" s="38" t="str">
        <f>INDEX(学习总体!A:A,MATCH(表2[[#This Row],[科目]],学习总体!C:C,0))</f>
        <v>Python</v>
      </c>
      <c r="C103" t="s">
        <v>166</v>
      </c>
      <c r="D103" s="55">
        <f t="shared" ref="D103:D109" ca="1" si="7">TODAY()-A103</f>
        <v>11</v>
      </c>
      <c r="E103" s="34">
        <v>0.10416666666666667</v>
      </c>
    </row>
    <row r="104" spans="1:6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11</v>
      </c>
      <c r="E104" s="34">
        <v>2.0833333333333332E-2</v>
      </c>
    </row>
    <row r="105" spans="1:6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10</v>
      </c>
      <c r="E105" s="34">
        <v>2.0833333333333332E-2</v>
      </c>
    </row>
    <row r="106" spans="1:6">
      <c r="A106" s="53">
        <v>42347</v>
      </c>
      <c r="B106" s="38" t="str">
        <f>INDEX(学习总体!A:A,MATCH(表2[[#This Row],[科目]],学习总体!C:C,0))</f>
        <v>Python</v>
      </c>
      <c r="C106" t="s">
        <v>166</v>
      </c>
      <c r="D106" s="55">
        <f t="shared" ca="1" si="7"/>
        <v>9</v>
      </c>
      <c r="E106" s="34">
        <v>0.10416666666666667</v>
      </c>
      <c r="F106" s="41" t="s">
        <v>170</v>
      </c>
    </row>
    <row r="107" spans="1:6">
      <c r="A107" s="53">
        <v>42348</v>
      </c>
      <c r="B107" s="38" t="str">
        <f>INDEX(学习总体!A:A,MATCH(表2[[#This Row],[科目]],学习总体!C:C,0))</f>
        <v>Python</v>
      </c>
      <c r="C107" t="s">
        <v>166</v>
      </c>
      <c r="D107" s="55">
        <f t="shared" ca="1" si="7"/>
        <v>8</v>
      </c>
      <c r="E107" s="34">
        <v>0.10416666666666667</v>
      </c>
      <c r="F107" s="41" t="s">
        <v>170</v>
      </c>
    </row>
    <row r="108" spans="1:6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4</v>
      </c>
      <c r="E108" s="34">
        <v>3.125E-2</v>
      </c>
    </row>
    <row r="109" spans="1:6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4</v>
      </c>
      <c r="F109" s="41" t="s">
        <v>171</v>
      </c>
    </row>
    <row r="110" spans="1:6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3</v>
      </c>
      <c r="E110" s="34">
        <v>3.125E-2</v>
      </c>
    </row>
    <row r="111" spans="1:6">
      <c r="A111" s="53">
        <v>42353</v>
      </c>
      <c r="B111" s="38" t="str">
        <f>INDEX(学习总体!A:A,MATCH(表2[[#This Row],[科目]],学习总体!C:C,0))</f>
        <v>Python</v>
      </c>
      <c r="C111" t="s">
        <v>174</v>
      </c>
      <c r="D111" s="55">
        <f ca="1">TODAY()-A111</f>
        <v>3</v>
      </c>
      <c r="E111" s="34">
        <v>0.20833333333333334</v>
      </c>
    </row>
    <row r="112" spans="1:6">
      <c r="A112" s="53">
        <v>42354</v>
      </c>
      <c r="B112" s="38" t="str">
        <f>INDEX(学习总体!A:A,MATCH(表2[[#This Row],[科目]],学习总体!C:C,0))</f>
        <v>字帖-英语</v>
      </c>
      <c r="C112" t="s">
        <v>86</v>
      </c>
      <c r="D112" s="55">
        <f ca="1">TODAY()-A112</f>
        <v>2</v>
      </c>
      <c r="E112" s="34">
        <v>2.0833333333333332E-2</v>
      </c>
    </row>
    <row r="113" spans="1:5">
      <c r="A113" s="53">
        <v>42354</v>
      </c>
      <c r="B113" s="38" t="str">
        <f>INDEX(学习总体!A:A,MATCH(表2[[#This Row],[科目]],学习总体!C:C,0))</f>
        <v>English</v>
      </c>
      <c r="C113" t="s">
        <v>117</v>
      </c>
      <c r="D113" s="55">
        <f ca="1">TODAY()-A113</f>
        <v>2</v>
      </c>
      <c r="E113" s="34">
        <v>4.1666666666666664E-2</v>
      </c>
    </row>
    <row r="114" spans="1:5">
      <c r="A114" s="53">
        <v>42356</v>
      </c>
      <c r="B114" s="38" t="str">
        <f>INDEX(学习总体!A:A,MATCH(表2[[#This Row],[科目]],学习总体!C:C,0))</f>
        <v>English</v>
      </c>
      <c r="C114" t="s">
        <v>117</v>
      </c>
      <c r="D114" s="55">
        <f ca="1">TODAY()-A114</f>
        <v>0</v>
      </c>
      <c r="E114" s="34">
        <v>3.125E-2</v>
      </c>
    </row>
    <row r="115" spans="1:5">
      <c r="D115" s="55"/>
    </row>
    <row r="116" spans="1:5">
      <c r="D116" s="55"/>
    </row>
    <row r="117" spans="1:5">
      <c r="D117" s="55"/>
    </row>
    <row r="118" spans="1:5">
      <c r="D118" s="55"/>
    </row>
    <row r="119" spans="1:5">
      <c r="D119" s="55"/>
    </row>
    <row r="120" spans="1:5">
      <c r="D120" s="55"/>
    </row>
    <row r="121" spans="1:5">
      <c r="D121" s="55"/>
    </row>
    <row r="122" spans="1:5">
      <c r="D122" s="55"/>
    </row>
    <row r="123" spans="1:5">
      <c r="D123" s="55"/>
    </row>
    <row r="124" spans="1:5">
      <c r="D124" s="55"/>
    </row>
    <row r="125" spans="1:5">
      <c r="D125" s="55"/>
    </row>
    <row r="126" spans="1:5">
      <c r="D126" s="55"/>
    </row>
    <row r="127" spans="1:5">
      <c r="D127" s="55"/>
    </row>
    <row r="128" spans="1:5">
      <c r="D128" s="55"/>
    </row>
    <row r="130" spans="1:30">
      <c r="H130" s="51" t="s">
        <v>119</v>
      </c>
      <c r="I130" s="35" t="s">
        <v>120</v>
      </c>
      <c r="J130" s="35"/>
    </row>
    <row r="131" spans="1:30">
      <c r="H131" s="34">
        <f ca="1">SUMIF(D:D,0,E:E)</f>
        <v>3.125E-2</v>
      </c>
      <c r="I131" s="38" t="str">
        <f ca="1">INDEX(学习总体!C:C,RANDBETWEEN(2,COUNTIF(学习总体!D:D,学习总体!D5)+1))</f>
        <v>Python for Data Analysis</v>
      </c>
      <c r="J131" s="35"/>
    </row>
    <row r="133" spans="1:30" s="48" customFormat="1">
      <c r="A133" s="52"/>
      <c r="B133" s="46" t="s">
        <v>153</v>
      </c>
      <c r="C133" s="54"/>
      <c r="D133" s="60" t="s">
        <v>31</v>
      </c>
      <c r="E133" s="54"/>
      <c r="F133" s="54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9" customFormat="1">
      <c r="A134" s="53"/>
      <c r="B134" s="46" t="s">
        <v>163</v>
      </c>
      <c r="C134" s="50" t="s">
        <v>32</v>
      </c>
      <c r="D134" s="53">
        <v>42354</v>
      </c>
      <c r="E134" s="53">
        <v>42353</v>
      </c>
      <c r="F134" s="53">
        <v>42352</v>
      </c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>
      <c r="B135" s="47" t="s">
        <v>177</v>
      </c>
      <c r="C135" s="59" t="s">
        <v>117</v>
      </c>
      <c r="D135" s="34">
        <v>4.1666666666666664E-2</v>
      </c>
      <c r="F135" s="34"/>
      <c r="G135"/>
      <c r="H135"/>
      <c r="I135"/>
      <c r="J135"/>
      <c r="K135"/>
    </row>
    <row r="136" spans="1:30">
      <c r="B136" s="47" t="s">
        <v>9</v>
      </c>
      <c r="C136" s="54" t="s">
        <v>33</v>
      </c>
      <c r="D136" s="34"/>
      <c r="F136" s="34"/>
      <c r="G136"/>
      <c r="H136"/>
      <c r="I136"/>
      <c r="J136"/>
      <c r="K136"/>
    </row>
    <row r="137" spans="1:30">
      <c r="B137" s="47"/>
      <c r="C137" s="54" t="s">
        <v>174</v>
      </c>
      <c r="D137" s="34"/>
      <c r="E137" s="34">
        <v>0.20833333333333334</v>
      </c>
      <c r="F137" s="34"/>
      <c r="G137"/>
      <c r="H137"/>
      <c r="I137"/>
      <c r="J137"/>
      <c r="K137"/>
    </row>
    <row r="138" spans="1:30">
      <c r="B138" s="47" t="s">
        <v>172</v>
      </c>
      <c r="C138" s="59" t="s">
        <v>86</v>
      </c>
      <c r="D138" s="34">
        <v>2.0833333333333332E-2</v>
      </c>
      <c r="E138" s="34">
        <v>3.125E-2</v>
      </c>
      <c r="F138" s="34">
        <v>3.125E-2</v>
      </c>
      <c r="G138"/>
      <c r="H138"/>
      <c r="I138"/>
      <c r="J138"/>
      <c r="K138"/>
    </row>
    <row r="139" spans="1:30">
      <c r="B139" s="47" t="s">
        <v>145</v>
      </c>
      <c r="C139" s="47"/>
      <c r="D139" s="34">
        <v>6.25E-2</v>
      </c>
      <c r="E139" s="34">
        <v>0.23958333333333334</v>
      </c>
      <c r="F139" s="34">
        <v>3.125E-2</v>
      </c>
      <c r="G139"/>
      <c r="H139"/>
      <c r="I139"/>
      <c r="J139"/>
      <c r="K139"/>
    </row>
    <row r="140" spans="1:30">
      <c r="B140"/>
      <c r="D140"/>
      <c r="E140"/>
      <c r="F140"/>
      <c r="G140"/>
      <c r="H140"/>
      <c r="I140"/>
      <c r="J140"/>
      <c r="K140"/>
    </row>
    <row r="141" spans="1:30">
      <c r="B141"/>
      <c r="D141"/>
      <c r="E141"/>
      <c r="F141"/>
      <c r="G141"/>
      <c r="H141"/>
      <c r="I141"/>
      <c r="J141"/>
      <c r="K141"/>
    </row>
    <row r="142" spans="1:30">
      <c r="B142"/>
      <c r="D142"/>
      <c r="E142"/>
      <c r="F142"/>
      <c r="G142"/>
      <c r="H142"/>
      <c r="I142"/>
      <c r="J142"/>
      <c r="K142"/>
    </row>
    <row r="143" spans="1:30">
      <c r="B143"/>
      <c r="D143"/>
      <c r="E143"/>
      <c r="F143"/>
      <c r="G143"/>
      <c r="H143"/>
      <c r="I143"/>
      <c r="J143"/>
      <c r="K143"/>
    </row>
    <row r="144" spans="1:30">
      <c r="B144"/>
      <c r="D144"/>
      <c r="E144"/>
      <c r="F144"/>
      <c r="G144"/>
      <c r="H144"/>
      <c r="I144"/>
      <c r="J144"/>
      <c r="K144"/>
    </row>
    <row r="145" spans="2:11">
      <c r="B145"/>
      <c r="D145"/>
      <c r="E145"/>
      <c r="F145"/>
      <c r="G145"/>
      <c r="H145"/>
      <c r="I145"/>
      <c r="J145"/>
      <c r="K145"/>
    </row>
    <row r="146" spans="2:11">
      <c r="B146"/>
      <c r="D146"/>
      <c r="E146"/>
      <c r="F146"/>
      <c r="G146"/>
      <c r="H146"/>
      <c r="I146"/>
      <c r="J146"/>
      <c r="K146"/>
    </row>
    <row r="147" spans="2:11">
      <c r="D147" s="40"/>
      <c r="E147"/>
      <c r="F147"/>
      <c r="G147"/>
      <c r="H147"/>
      <c r="I147"/>
      <c r="J147"/>
      <c r="K147"/>
    </row>
    <row r="148" spans="2:11">
      <c r="D148" s="40"/>
      <c r="E148"/>
      <c r="F148"/>
      <c r="G148"/>
      <c r="H148"/>
      <c r="I148"/>
      <c r="J148"/>
      <c r="K148"/>
    </row>
    <row r="149" spans="2:11">
      <c r="D149" s="40"/>
      <c r="E149"/>
      <c r="F149"/>
      <c r="G149"/>
      <c r="H149"/>
      <c r="I149"/>
      <c r="J149"/>
      <c r="K149"/>
    </row>
    <row r="150" spans="2:11">
      <c r="D150" s="40"/>
      <c r="E150"/>
      <c r="F150"/>
      <c r="G150"/>
      <c r="H150"/>
      <c r="I150"/>
      <c r="J150"/>
      <c r="K150"/>
    </row>
    <row r="151" spans="2:11">
      <c r="D151" s="40"/>
      <c r="J151"/>
      <c r="K151"/>
    </row>
    <row r="152" spans="2:11">
      <c r="D152" s="40"/>
      <c r="J152"/>
      <c r="K152"/>
    </row>
    <row r="153" spans="2:11">
      <c r="D153" s="40"/>
      <c r="J153"/>
      <c r="K153"/>
    </row>
    <row r="154" spans="2:11">
      <c r="D154" s="40"/>
      <c r="J154"/>
      <c r="K154"/>
    </row>
    <row r="155" spans="2:11">
      <c r="D155" s="40"/>
      <c r="J155"/>
      <c r="K155"/>
    </row>
    <row r="156" spans="2:11">
      <c r="D156" s="40"/>
      <c r="J156"/>
      <c r="K156"/>
    </row>
    <row r="157" spans="2:11">
      <c r="D157" s="40"/>
      <c r="J157"/>
      <c r="K157"/>
    </row>
    <row r="158" spans="2:11">
      <c r="D158" s="40"/>
      <c r="J158"/>
      <c r="K158"/>
    </row>
    <row r="159" spans="2:11">
      <c r="D159" s="40"/>
    </row>
    <row r="160" spans="2:11">
      <c r="D160" s="40"/>
    </row>
    <row r="161" spans="4:4">
      <c r="D161" s="40"/>
    </row>
    <row r="162" spans="4:4">
      <c r="D162" s="40"/>
    </row>
    <row r="163" spans="4:4">
      <c r="D163" s="40"/>
    </row>
    <row r="164" spans="4:4">
      <c r="D164" s="40"/>
    </row>
    <row r="165" spans="4:4">
      <c r="D165" s="40"/>
    </row>
    <row r="166" spans="4:4">
      <c r="D166" s="40"/>
    </row>
    <row r="167" spans="4:4">
      <c r="D167" s="40"/>
    </row>
    <row r="168" spans="4:4">
      <c r="D168" s="40"/>
    </row>
    <row r="169" spans="4:4">
      <c r="D169" s="40"/>
    </row>
    <row r="170" spans="4:4">
      <c r="D170" s="40"/>
    </row>
    <row r="171" spans="4:4">
      <c r="D171" s="40"/>
    </row>
    <row r="172" spans="4:4">
      <c r="D172" s="40"/>
    </row>
    <row r="173" spans="4:4">
      <c r="D173" s="40"/>
    </row>
    <row r="174" spans="4:4">
      <c r="D174" s="40"/>
    </row>
    <row r="175" spans="4:4">
      <c r="D175" s="40"/>
    </row>
    <row r="176" spans="4:4">
      <c r="D176" s="40"/>
    </row>
    <row r="177" spans="4:4">
      <c r="D177" s="40"/>
    </row>
    <row r="178" spans="4:4">
      <c r="D178" s="40"/>
    </row>
    <row r="179" spans="4:4">
      <c r="D179" s="40"/>
    </row>
    <row r="180" spans="4:4">
      <c r="D180" s="40"/>
    </row>
    <row r="181" spans="4:4">
      <c r="D181" s="40"/>
    </row>
    <row r="182" spans="4:4">
      <c r="D182" s="40"/>
    </row>
    <row r="183" spans="4:4">
      <c r="D183" s="40"/>
    </row>
    <row r="184" spans="4:4">
      <c r="D184" s="40"/>
    </row>
    <row r="185" spans="4:4">
      <c r="D185" s="40"/>
    </row>
    <row r="186" spans="4:4">
      <c r="D186" s="40"/>
    </row>
    <row r="187" spans="4:4">
      <c r="D187" s="40"/>
    </row>
    <row r="188" spans="4:4">
      <c r="D188" s="40"/>
    </row>
    <row r="189" spans="4:4">
      <c r="D189" s="40"/>
    </row>
    <row r="190" spans="4:4">
      <c r="D190" s="40"/>
    </row>
    <row r="191" spans="4:4">
      <c r="D191" s="40"/>
    </row>
    <row r="192" spans="4:4">
      <c r="D192" s="40"/>
    </row>
    <row r="193" spans="4:4">
      <c r="D193" s="40"/>
    </row>
    <row r="194" spans="4:4">
      <c r="D194" s="40"/>
    </row>
    <row r="195" spans="4:4">
      <c r="D195" s="40"/>
    </row>
    <row r="196" spans="4:4">
      <c r="D196" s="40"/>
    </row>
    <row r="197" spans="4:4">
      <c r="D197" s="40"/>
    </row>
    <row r="198" spans="4:4">
      <c r="D198" s="40"/>
    </row>
    <row r="199" spans="4:4">
      <c r="D199" s="40"/>
    </row>
    <row r="200" spans="4:4">
      <c r="D200" s="40"/>
    </row>
    <row r="201" spans="4:4">
      <c r="D201" s="40"/>
    </row>
    <row r="202" spans="4:4">
      <c r="D202" s="40"/>
    </row>
    <row r="203" spans="4:4">
      <c r="D203" s="40"/>
    </row>
    <row r="204" spans="4:4">
      <c r="D204" s="40"/>
    </row>
    <row r="205" spans="4:4">
      <c r="D205" s="40"/>
    </row>
    <row r="206" spans="4:4">
      <c r="D206" s="40"/>
    </row>
    <row r="207" spans="4:4">
      <c r="D207" s="40"/>
    </row>
    <row r="208" spans="4:4">
      <c r="D208" s="40"/>
    </row>
    <row r="209" spans="4:4">
      <c r="D209" s="40"/>
    </row>
    <row r="210" spans="4:4">
      <c r="D210" s="40"/>
    </row>
    <row r="211" spans="4:4">
      <c r="D211" s="40"/>
    </row>
    <row r="212" spans="4:4">
      <c r="D212" s="40"/>
    </row>
  </sheetData>
  <phoneticPr fontId="4" type="noConversion"/>
  <conditionalFormatting sqref="H133:H134 A132:H132 A147:C212 E151:H212 A130:G131 A133:A146 B140:B146 A1:H98 A102 C102:H102 B99:B102 A103:H129 A213:H1048576">
    <cfRule type="expression" dxfId="75" priority="13">
      <formula>$A1=TODAY()-1</formula>
    </cfRule>
    <cfRule type="expression" dxfId="74" priority="14">
      <formula>$A1=TODAY()</formula>
    </cfRule>
  </conditionalFormatting>
  <conditionalFormatting sqref="A99:A101 D99:H101">
    <cfRule type="expression" dxfId="73" priority="5">
      <formula>$A99=TODAY()-1</formula>
    </cfRule>
    <cfRule type="expression" dxfId="72" priority="6">
      <formula>$A99=TODAY()</formula>
    </cfRule>
  </conditionalFormatting>
  <conditionalFormatting sqref="C99:C100">
    <cfRule type="expression" dxfId="71" priority="3">
      <formula>$A99=TODAY()-1</formula>
    </cfRule>
    <cfRule type="expression" dxfId="70" priority="4">
      <formula>$A99=TODAY()</formula>
    </cfRule>
  </conditionalFormatting>
  <conditionalFormatting sqref="C101">
    <cfRule type="expression" dxfId="69" priority="1">
      <formula>$A101=TODAY()-1</formula>
    </cfRule>
    <cfRule type="expression" dxfId="68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9"/>
  <sheetViews>
    <sheetView topLeftCell="A47" workbookViewId="0">
      <selection activeCell="G65" sqref="G65:J65"/>
      <pivotSelection pane="bottomRight" showHeader="1" extendable="1" start="4" max="5" activeRow="64" activeCol="6" click="1" r:id="rId1">
        <pivotArea dataOnly="0" grandRow="1" fieldPosition="0"/>
      </pivotSelection>
    </sheetView>
  </sheetViews>
  <sheetFormatPr defaultRowHeight="13.5"/>
  <cols>
    <col min="1" max="1" width="11.125" style="58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>
      <c r="A1" s="57" t="s">
        <v>169</v>
      </c>
      <c r="B1" s="39" t="s">
        <v>135</v>
      </c>
      <c r="C1" s="41" t="s">
        <v>136</v>
      </c>
      <c r="D1" s="43" t="s">
        <v>149</v>
      </c>
      <c r="G1" s="40"/>
      <c r="H1"/>
    </row>
    <row r="2" spans="1:15">
      <c r="A2" s="58">
        <v>42323</v>
      </c>
      <c r="B2" t="s">
        <v>139</v>
      </c>
      <c r="C2" s="40">
        <v>30</v>
      </c>
      <c r="D2" s="43">
        <f t="shared" ref="D2:D33" ca="1" si="0">TODAY()-ROUNDDOWN(A2,0)</f>
        <v>33</v>
      </c>
      <c r="G2" s="40"/>
      <c r="H2"/>
    </row>
    <row r="3" spans="1:15">
      <c r="A3" s="58">
        <v>42323</v>
      </c>
      <c r="B3" t="s">
        <v>140</v>
      </c>
      <c r="C3" s="40">
        <v>50</v>
      </c>
      <c r="D3" s="43">
        <f t="shared" ca="1" si="0"/>
        <v>33</v>
      </c>
      <c r="G3" s="40"/>
      <c r="H3"/>
    </row>
    <row r="4" spans="1:15">
      <c r="A4" s="58">
        <v>42323</v>
      </c>
      <c r="B4" t="s">
        <v>137</v>
      </c>
      <c r="C4" s="40">
        <v>13</v>
      </c>
      <c r="D4" s="43">
        <f t="shared" ca="1" si="0"/>
        <v>33</v>
      </c>
      <c r="G4" s="40"/>
      <c r="H4"/>
    </row>
    <row r="5" spans="1:15">
      <c r="A5" s="58">
        <v>42323</v>
      </c>
      <c r="B5" t="s">
        <v>138</v>
      </c>
      <c r="C5" s="40">
        <v>10</v>
      </c>
      <c r="D5" s="43">
        <f t="shared" ca="1" si="0"/>
        <v>33</v>
      </c>
      <c r="G5" s="40"/>
      <c r="H5"/>
    </row>
    <row r="6" spans="1:15">
      <c r="A6" s="58">
        <v>42323</v>
      </c>
      <c r="B6" t="s">
        <v>139</v>
      </c>
      <c r="C6" s="40">
        <v>30</v>
      </c>
      <c r="D6" s="43">
        <f t="shared" ca="1" si="0"/>
        <v>33</v>
      </c>
      <c r="G6" s="40"/>
      <c r="H6"/>
    </row>
    <row r="7" spans="1:15">
      <c r="A7" s="58">
        <v>42323</v>
      </c>
      <c r="B7" t="s">
        <v>140</v>
      </c>
      <c r="C7" s="40">
        <v>45</v>
      </c>
      <c r="D7" s="43">
        <f t="shared" ca="1" si="0"/>
        <v>33</v>
      </c>
      <c r="G7" s="40"/>
      <c r="H7"/>
    </row>
    <row r="8" spans="1:15">
      <c r="A8" s="58">
        <v>42323</v>
      </c>
      <c r="B8" t="s">
        <v>137</v>
      </c>
      <c r="C8" s="40">
        <v>20</v>
      </c>
      <c r="D8" s="43">
        <f t="shared" ca="1" si="0"/>
        <v>33</v>
      </c>
      <c r="G8" s="40"/>
      <c r="H8"/>
    </row>
    <row r="9" spans="1:15">
      <c r="A9" s="58">
        <v>42323</v>
      </c>
      <c r="B9" t="s">
        <v>138</v>
      </c>
      <c r="C9" s="40">
        <v>15</v>
      </c>
      <c r="D9" s="43">
        <f t="shared" ca="1" si="0"/>
        <v>33</v>
      </c>
      <c r="G9" s="40"/>
      <c r="H9"/>
    </row>
    <row r="10" spans="1:15">
      <c r="A10" s="58">
        <v>42325</v>
      </c>
      <c r="B10" t="s">
        <v>138</v>
      </c>
      <c r="C10" s="40">
        <v>20</v>
      </c>
      <c r="D10" s="43">
        <f t="shared" ca="1" si="0"/>
        <v>31</v>
      </c>
      <c r="G10" s="40"/>
      <c r="H10"/>
    </row>
    <row r="11" spans="1:15">
      <c r="A11" s="58">
        <v>42325</v>
      </c>
      <c r="B11" t="s">
        <v>138</v>
      </c>
      <c r="C11" s="40">
        <v>15</v>
      </c>
      <c r="D11" s="43">
        <f t="shared" ca="1" si="0"/>
        <v>31</v>
      </c>
      <c r="G11" s="40"/>
      <c r="H11"/>
    </row>
    <row r="12" spans="1:15">
      <c r="A12" s="58">
        <v>42325</v>
      </c>
      <c r="B12" t="s">
        <v>140</v>
      </c>
      <c r="C12" s="40">
        <v>35</v>
      </c>
      <c r="D12" s="43">
        <f t="shared" ca="1" si="0"/>
        <v>31</v>
      </c>
      <c r="G12" s="40"/>
      <c r="H12"/>
    </row>
    <row r="13" spans="1:15">
      <c r="A13" s="58">
        <v>42325</v>
      </c>
      <c r="B13" t="s">
        <v>137</v>
      </c>
      <c r="C13" s="40">
        <v>20</v>
      </c>
      <c r="D13" s="43">
        <f t="shared" ca="1" si="0"/>
        <v>31</v>
      </c>
      <c r="G13" s="40"/>
      <c r="H13"/>
    </row>
    <row r="14" spans="1:15">
      <c r="A14" s="58">
        <v>42325</v>
      </c>
      <c r="B14" t="s">
        <v>138</v>
      </c>
      <c r="C14" s="40">
        <v>15</v>
      </c>
      <c r="D14" s="43">
        <f t="shared" ca="1" si="0"/>
        <v>31</v>
      </c>
      <c r="G14" s="40"/>
      <c r="H14"/>
    </row>
    <row r="15" spans="1:15">
      <c r="A15" s="58">
        <v>42325</v>
      </c>
      <c r="B15" t="s">
        <v>139</v>
      </c>
      <c r="C15" s="40">
        <v>35</v>
      </c>
      <c r="D15" s="43">
        <f t="shared" ca="1" si="0"/>
        <v>31</v>
      </c>
      <c r="G15" s="40"/>
      <c r="H15"/>
      <c r="J15" s="40"/>
      <c r="K15" s="40"/>
      <c r="L15" s="40"/>
      <c r="M15" s="40"/>
      <c r="N15" s="40"/>
      <c r="O15" s="40"/>
    </row>
    <row r="16" spans="1:15">
      <c r="A16" s="58">
        <v>42326</v>
      </c>
      <c r="B16" t="s">
        <v>157</v>
      </c>
      <c r="C16" s="40">
        <v>1</v>
      </c>
      <c r="D16" s="43">
        <f t="shared" ca="1" si="0"/>
        <v>30</v>
      </c>
      <c r="G16" s="40"/>
      <c r="H16"/>
      <c r="J16" s="40"/>
      <c r="K16" s="40"/>
      <c r="L16" s="40"/>
      <c r="M16" s="40"/>
      <c r="N16" s="40"/>
      <c r="O16" s="40"/>
    </row>
    <row r="17" spans="1:15">
      <c r="A17" s="58">
        <v>42327</v>
      </c>
      <c r="B17" t="s">
        <v>157</v>
      </c>
      <c r="C17" s="40">
        <v>1</v>
      </c>
      <c r="D17" s="43">
        <f t="shared" ca="1" si="0"/>
        <v>29</v>
      </c>
      <c r="G17" s="40"/>
      <c r="H17"/>
      <c r="J17" s="38"/>
      <c r="K17" s="40"/>
      <c r="L17" s="40"/>
      <c r="M17" s="40"/>
      <c r="N17" s="40"/>
      <c r="O17" s="40"/>
    </row>
    <row r="18" spans="1:15">
      <c r="A18" s="58">
        <v>42327</v>
      </c>
      <c r="B18" t="s">
        <v>138</v>
      </c>
      <c r="C18" s="40">
        <v>15</v>
      </c>
      <c r="D18" s="43">
        <f t="shared" ca="1" si="0"/>
        <v>29</v>
      </c>
      <c r="G18" s="40"/>
      <c r="H18"/>
      <c r="M18" s="40"/>
      <c r="N18" s="40"/>
      <c r="O18" s="40"/>
    </row>
    <row r="19" spans="1:15">
      <c r="A19" s="58">
        <v>42328</v>
      </c>
      <c r="B19" t="s">
        <v>138</v>
      </c>
      <c r="C19" s="40">
        <v>10</v>
      </c>
      <c r="D19" s="43">
        <f t="shared" ca="1" si="0"/>
        <v>28</v>
      </c>
      <c r="G19" s="40"/>
      <c r="H19"/>
    </row>
    <row r="20" spans="1:15">
      <c r="A20" s="58">
        <v>42328</v>
      </c>
      <c r="B20" t="s">
        <v>138</v>
      </c>
      <c r="C20" s="40">
        <v>15</v>
      </c>
      <c r="D20" s="43">
        <f t="shared" ca="1" si="0"/>
        <v>28</v>
      </c>
      <c r="G20" s="40"/>
      <c r="H20"/>
    </row>
    <row r="21" spans="1:15">
      <c r="A21" s="58">
        <v>42328</v>
      </c>
      <c r="B21" t="s">
        <v>138</v>
      </c>
      <c r="C21" s="40">
        <v>16</v>
      </c>
      <c r="D21" s="43">
        <f t="shared" ca="1" si="0"/>
        <v>28</v>
      </c>
      <c r="G21" s="40"/>
      <c r="H21"/>
    </row>
    <row r="22" spans="1:15">
      <c r="A22" s="58">
        <v>42330</v>
      </c>
      <c r="B22" t="s">
        <v>159</v>
      </c>
      <c r="C22" s="40">
        <v>10</v>
      </c>
      <c r="D22" s="43">
        <f t="shared" ca="1" si="0"/>
        <v>26</v>
      </c>
      <c r="G22" s="40"/>
      <c r="H22"/>
    </row>
    <row r="23" spans="1:15">
      <c r="A23" s="58">
        <v>42330</v>
      </c>
      <c r="B23" t="s">
        <v>159</v>
      </c>
      <c r="C23" s="40">
        <v>10</v>
      </c>
      <c r="D23" s="43">
        <f t="shared" ca="1" si="0"/>
        <v>26</v>
      </c>
      <c r="G23" s="40"/>
      <c r="H23"/>
    </row>
    <row r="24" spans="1:15">
      <c r="A24" s="58">
        <v>42330</v>
      </c>
      <c r="B24" t="s">
        <v>159</v>
      </c>
      <c r="C24" s="40">
        <v>10</v>
      </c>
      <c r="D24" s="43">
        <f t="shared" ca="1" si="0"/>
        <v>26</v>
      </c>
      <c r="G24" s="40"/>
      <c r="H24"/>
    </row>
    <row r="25" spans="1:15">
      <c r="A25" s="58">
        <v>42330</v>
      </c>
      <c r="B25" t="s">
        <v>159</v>
      </c>
      <c r="C25" s="40">
        <v>10</v>
      </c>
      <c r="D25" s="43">
        <f t="shared" ca="1" si="0"/>
        <v>26</v>
      </c>
      <c r="H25"/>
    </row>
    <row r="26" spans="1:15">
      <c r="A26" s="58">
        <v>42330</v>
      </c>
      <c r="B26" t="s">
        <v>159</v>
      </c>
      <c r="C26" s="40">
        <v>10</v>
      </c>
      <c r="D26" s="43">
        <f t="shared" ca="1" si="0"/>
        <v>26</v>
      </c>
      <c r="G26" s="40"/>
      <c r="H26"/>
    </row>
    <row r="27" spans="1:15">
      <c r="A27" s="58">
        <v>42331</v>
      </c>
      <c r="B27" t="s">
        <v>157</v>
      </c>
      <c r="C27" s="40">
        <v>1</v>
      </c>
      <c r="D27" s="43">
        <f t="shared" ca="1" si="0"/>
        <v>25</v>
      </c>
      <c r="G27" s="40"/>
      <c r="H27"/>
    </row>
    <row r="28" spans="1:15">
      <c r="A28" s="58">
        <v>42331</v>
      </c>
      <c r="B28" t="s">
        <v>138</v>
      </c>
      <c r="C28" s="40">
        <v>17</v>
      </c>
      <c r="D28" s="43">
        <f t="shared" ca="1" si="0"/>
        <v>25</v>
      </c>
      <c r="G28" s="40"/>
      <c r="H28"/>
    </row>
    <row r="29" spans="1:15">
      <c r="A29" s="58">
        <v>42331</v>
      </c>
      <c r="B29" t="s">
        <v>159</v>
      </c>
      <c r="C29" s="40">
        <v>20</v>
      </c>
      <c r="D29" s="43">
        <f t="shared" ca="1" si="0"/>
        <v>25</v>
      </c>
      <c r="G29" s="40"/>
      <c r="H29"/>
    </row>
    <row r="30" spans="1:15">
      <c r="A30" s="58">
        <v>42332</v>
      </c>
      <c r="B30" t="s">
        <v>159</v>
      </c>
      <c r="C30" s="40">
        <v>10</v>
      </c>
      <c r="D30" s="43">
        <f t="shared" ca="1" si="0"/>
        <v>24</v>
      </c>
      <c r="G30" s="40"/>
      <c r="H30"/>
    </row>
    <row r="31" spans="1:15">
      <c r="A31" s="58">
        <v>42332</v>
      </c>
      <c r="B31" t="s">
        <v>138</v>
      </c>
      <c r="C31" s="40">
        <v>15</v>
      </c>
      <c r="D31" s="43">
        <f t="shared" ca="1" si="0"/>
        <v>24</v>
      </c>
      <c r="G31" s="40"/>
      <c r="H31"/>
    </row>
    <row r="32" spans="1:15">
      <c r="A32" s="58">
        <v>42332</v>
      </c>
      <c r="B32" t="s">
        <v>138</v>
      </c>
      <c r="C32" s="40">
        <v>18</v>
      </c>
      <c r="D32" s="43">
        <f t="shared" ca="1" si="0"/>
        <v>24</v>
      </c>
      <c r="G32" s="40"/>
      <c r="H32"/>
    </row>
    <row r="33" spans="1:8">
      <c r="A33" s="58">
        <v>42333</v>
      </c>
      <c r="B33" t="s">
        <v>138</v>
      </c>
      <c r="C33" s="40">
        <v>15</v>
      </c>
      <c r="D33" s="43">
        <f t="shared" ca="1" si="0"/>
        <v>23</v>
      </c>
      <c r="G33" s="40"/>
      <c r="H33"/>
    </row>
    <row r="34" spans="1:8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21</v>
      </c>
      <c r="G34" s="40"/>
      <c r="H34"/>
    </row>
    <row r="35" spans="1:8">
      <c r="A35" s="58">
        <v>42335</v>
      </c>
      <c r="B35" t="s">
        <v>139</v>
      </c>
      <c r="C35" s="40">
        <v>40</v>
      </c>
      <c r="D35" s="43">
        <f t="shared" ca="1" si="1"/>
        <v>21</v>
      </c>
      <c r="H35"/>
    </row>
    <row r="36" spans="1:8">
      <c r="A36" s="58">
        <v>42335</v>
      </c>
      <c r="B36" t="s">
        <v>161</v>
      </c>
      <c r="C36" s="40">
        <v>60</v>
      </c>
      <c r="D36" s="43">
        <f t="shared" ca="1" si="1"/>
        <v>21</v>
      </c>
      <c r="G36" s="40"/>
      <c r="H36"/>
    </row>
    <row r="37" spans="1:8">
      <c r="A37" s="58">
        <v>42335</v>
      </c>
      <c r="B37" t="s">
        <v>138</v>
      </c>
      <c r="C37" s="40">
        <v>15</v>
      </c>
      <c r="D37" s="43">
        <f t="shared" ca="1" si="1"/>
        <v>21</v>
      </c>
      <c r="G37" s="40"/>
      <c r="H37"/>
    </row>
    <row r="38" spans="1:8">
      <c r="A38" s="58">
        <v>42335</v>
      </c>
      <c r="B38" t="s">
        <v>140</v>
      </c>
      <c r="C38" s="40">
        <v>40</v>
      </c>
      <c r="D38" s="43">
        <f t="shared" ca="1" si="1"/>
        <v>21</v>
      </c>
      <c r="G38" s="40"/>
      <c r="H38"/>
    </row>
    <row r="39" spans="1:8">
      <c r="A39" s="58">
        <v>42335</v>
      </c>
      <c r="B39" t="s">
        <v>139</v>
      </c>
      <c r="C39" s="40">
        <v>40</v>
      </c>
      <c r="D39" s="43">
        <f t="shared" ca="1" si="1"/>
        <v>21</v>
      </c>
      <c r="G39" s="40"/>
      <c r="H39"/>
    </row>
    <row r="40" spans="1:8">
      <c r="A40" s="58">
        <v>42336</v>
      </c>
      <c r="B40" t="s">
        <v>139</v>
      </c>
      <c r="C40" s="40">
        <v>30</v>
      </c>
      <c r="D40" s="43">
        <f t="shared" ca="1" si="1"/>
        <v>20</v>
      </c>
    </row>
    <row r="41" spans="1:8">
      <c r="A41" s="58">
        <v>42336</v>
      </c>
      <c r="B41" t="s">
        <v>140</v>
      </c>
      <c r="C41" s="40">
        <v>35</v>
      </c>
      <c r="D41" s="43">
        <f t="shared" ca="1" si="1"/>
        <v>20</v>
      </c>
    </row>
    <row r="42" spans="1:8">
      <c r="A42" s="58">
        <v>42338</v>
      </c>
      <c r="B42" t="s">
        <v>138</v>
      </c>
      <c r="C42" s="40">
        <v>15</v>
      </c>
      <c r="D42" s="43">
        <f t="shared" ca="1" si="1"/>
        <v>18</v>
      </c>
    </row>
    <row r="43" spans="1:8" ht="13.5" customHeight="1">
      <c r="A43" s="58">
        <v>42338</v>
      </c>
      <c r="B43" t="s">
        <v>138</v>
      </c>
      <c r="C43" s="40">
        <v>20</v>
      </c>
      <c r="D43" s="43">
        <f t="shared" ca="1" si="1"/>
        <v>18</v>
      </c>
    </row>
    <row r="44" spans="1:8">
      <c r="A44" s="58">
        <v>42346</v>
      </c>
      <c r="B44" t="s">
        <v>138</v>
      </c>
      <c r="C44" s="40">
        <v>13</v>
      </c>
      <c r="D44" s="43">
        <f t="shared" ca="1" si="1"/>
        <v>10</v>
      </c>
    </row>
    <row r="45" spans="1:8">
      <c r="A45" s="58">
        <v>42346</v>
      </c>
      <c r="B45" t="s">
        <v>139</v>
      </c>
      <c r="C45" s="40">
        <v>30</v>
      </c>
      <c r="D45" s="43">
        <f t="shared" ca="1" si="1"/>
        <v>10</v>
      </c>
    </row>
    <row r="46" spans="1:8">
      <c r="A46" s="58">
        <v>42346</v>
      </c>
      <c r="B46" t="s">
        <v>140</v>
      </c>
      <c r="C46" s="40">
        <v>40</v>
      </c>
      <c r="D46" s="43">
        <f t="shared" ca="1" si="1"/>
        <v>10</v>
      </c>
    </row>
    <row r="47" spans="1:8">
      <c r="A47" s="58">
        <v>42346</v>
      </c>
      <c r="B47" t="s">
        <v>137</v>
      </c>
      <c r="C47" s="40">
        <v>15</v>
      </c>
      <c r="D47" s="43">
        <f t="shared" ca="1" si="1"/>
        <v>10</v>
      </c>
      <c r="H47"/>
    </row>
    <row r="48" spans="1:8">
      <c r="A48" s="58">
        <v>42346</v>
      </c>
      <c r="B48" t="s">
        <v>161</v>
      </c>
      <c r="C48" s="40">
        <v>60</v>
      </c>
      <c r="D48" s="43">
        <f t="shared" ca="1" si="1"/>
        <v>10</v>
      </c>
    </row>
    <row r="49" spans="1:10">
      <c r="A49" s="58">
        <v>42346</v>
      </c>
      <c r="B49" t="s">
        <v>140</v>
      </c>
      <c r="C49" s="40">
        <v>41</v>
      </c>
      <c r="D49" s="43">
        <f t="shared" ca="1" si="1"/>
        <v>10</v>
      </c>
    </row>
    <row r="50" spans="1:10">
      <c r="A50" s="58">
        <v>42346</v>
      </c>
      <c r="B50" t="s">
        <v>138</v>
      </c>
      <c r="C50" s="40">
        <v>10</v>
      </c>
      <c r="D50" s="43">
        <f t="shared" ca="1" si="1"/>
        <v>10</v>
      </c>
    </row>
    <row r="51" spans="1:10">
      <c r="A51" s="58">
        <v>42346</v>
      </c>
      <c r="B51" t="s">
        <v>139</v>
      </c>
      <c r="C51" s="40">
        <v>30</v>
      </c>
      <c r="D51" s="43">
        <f t="shared" ca="1" si="1"/>
        <v>10</v>
      </c>
    </row>
    <row r="52" spans="1:10">
      <c r="A52" s="58">
        <v>42346</v>
      </c>
      <c r="B52" t="s">
        <v>161</v>
      </c>
      <c r="C52" s="40">
        <v>60</v>
      </c>
      <c r="D52" s="43">
        <f t="shared" ca="1" si="1"/>
        <v>10</v>
      </c>
    </row>
    <row r="53" spans="1:10">
      <c r="A53" s="58">
        <v>42353</v>
      </c>
      <c r="B53" t="s">
        <v>138</v>
      </c>
      <c r="C53" s="40">
        <v>13</v>
      </c>
      <c r="D53" s="43">
        <f t="shared" ref="D53:D60" ca="1" si="2">TODAY()-ROUNDDOWN(A53,0)</f>
        <v>3</v>
      </c>
    </row>
    <row r="54" spans="1:10">
      <c r="A54" s="58">
        <v>42353</v>
      </c>
      <c r="B54" t="s">
        <v>140</v>
      </c>
      <c r="C54" s="40">
        <v>40</v>
      </c>
      <c r="D54" s="43">
        <f t="shared" ca="1" si="2"/>
        <v>3</v>
      </c>
    </row>
    <row r="55" spans="1:10">
      <c r="A55" s="58">
        <v>42353</v>
      </c>
      <c r="B55" t="s">
        <v>137</v>
      </c>
      <c r="C55" s="40">
        <v>15</v>
      </c>
      <c r="D55" s="43">
        <f t="shared" ca="1" si="2"/>
        <v>3</v>
      </c>
    </row>
    <row r="56" spans="1:10">
      <c r="A56" s="58">
        <v>42353</v>
      </c>
      <c r="B56" t="s">
        <v>139</v>
      </c>
      <c r="C56" s="40">
        <v>30</v>
      </c>
      <c r="D56" s="43">
        <f t="shared" ca="1" si="2"/>
        <v>3</v>
      </c>
    </row>
    <row r="57" spans="1:10">
      <c r="A57" s="58">
        <v>42353</v>
      </c>
      <c r="B57" t="s">
        <v>138</v>
      </c>
      <c r="C57" s="40">
        <v>15</v>
      </c>
      <c r="D57" s="43">
        <f t="shared" ca="1" si="2"/>
        <v>3</v>
      </c>
    </row>
    <row r="58" spans="1:10">
      <c r="A58" s="58">
        <v>42353</v>
      </c>
      <c r="B58" t="s">
        <v>140</v>
      </c>
      <c r="C58" s="40">
        <v>35</v>
      </c>
      <c r="D58" s="43">
        <f t="shared" ca="1" si="2"/>
        <v>3</v>
      </c>
    </row>
    <row r="59" spans="1:10">
      <c r="A59" s="58">
        <v>42353</v>
      </c>
      <c r="B59" t="s">
        <v>137</v>
      </c>
      <c r="C59" s="40">
        <v>15</v>
      </c>
      <c r="D59" s="43">
        <f t="shared" ca="1" si="2"/>
        <v>3</v>
      </c>
      <c r="G59" s="42" t="s">
        <v>179</v>
      </c>
      <c r="H59" s="42" t="s">
        <v>146</v>
      </c>
      <c r="I59" s="40"/>
      <c r="J59" s="40"/>
    </row>
    <row r="60" spans="1:10">
      <c r="A60" s="58">
        <v>42353</v>
      </c>
      <c r="B60" t="s">
        <v>139</v>
      </c>
      <c r="C60" s="40">
        <v>30</v>
      </c>
      <c r="D60" s="43">
        <f t="shared" ca="1" si="2"/>
        <v>3</v>
      </c>
      <c r="G60" s="42" t="s">
        <v>144</v>
      </c>
      <c r="H60" s="40" t="s">
        <v>178</v>
      </c>
      <c r="I60" s="40" t="s">
        <v>176</v>
      </c>
      <c r="J60" s="40" t="s">
        <v>145</v>
      </c>
    </row>
    <row r="61" spans="1:10">
      <c r="A61" s="58">
        <v>42354</v>
      </c>
      <c r="B61" t="s">
        <v>138</v>
      </c>
      <c r="C61" s="40">
        <v>15</v>
      </c>
      <c r="D61" s="43">
        <f t="shared" ref="D61:D69" ca="1" si="3">TODAY()-ROUNDDOWN(A61,0)</f>
        <v>2</v>
      </c>
      <c r="G61" s="38" t="s">
        <v>138</v>
      </c>
      <c r="H61" s="40">
        <v>4</v>
      </c>
      <c r="I61" s="40">
        <v>2</v>
      </c>
      <c r="J61" s="40">
        <v>6</v>
      </c>
    </row>
    <row r="62" spans="1:10">
      <c r="A62" s="58">
        <v>42354</v>
      </c>
      <c r="B62" t="s">
        <v>138</v>
      </c>
      <c r="C62" s="40">
        <v>15</v>
      </c>
      <c r="D62" s="43">
        <f t="shared" ca="1" si="3"/>
        <v>2</v>
      </c>
      <c r="G62" s="38" t="s">
        <v>139</v>
      </c>
      <c r="H62" s="40">
        <v>2</v>
      </c>
      <c r="I62" s="40">
        <v>2</v>
      </c>
      <c r="J62" s="40">
        <v>4</v>
      </c>
    </row>
    <row r="63" spans="1:10">
      <c r="A63" s="58">
        <v>42354</v>
      </c>
      <c r="B63" t="s">
        <v>138</v>
      </c>
      <c r="C63" s="40">
        <v>12</v>
      </c>
      <c r="D63" s="43">
        <f t="shared" ca="1" si="3"/>
        <v>2</v>
      </c>
      <c r="G63" s="38" t="s">
        <v>140</v>
      </c>
      <c r="H63" s="40">
        <v>1</v>
      </c>
      <c r="I63" s="40">
        <v>2</v>
      </c>
      <c r="J63" s="40">
        <v>3</v>
      </c>
    </row>
    <row r="64" spans="1:10">
      <c r="A64" s="58">
        <v>42354</v>
      </c>
      <c r="B64" t="s">
        <v>137</v>
      </c>
      <c r="C64" s="40">
        <v>18</v>
      </c>
      <c r="D64" s="43">
        <f t="shared" ca="1" si="3"/>
        <v>2</v>
      </c>
      <c r="G64" s="38" t="s">
        <v>137</v>
      </c>
      <c r="H64" s="40">
        <v>2</v>
      </c>
      <c r="I64" s="40">
        <v>2</v>
      </c>
      <c r="J64" s="40">
        <v>4</v>
      </c>
    </row>
    <row r="65" spans="1:10">
      <c r="A65" s="58">
        <v>42354</v>
      </c>
      <c r="B65" t="s">
        <v>140</v>
      </c>
      <c r="C65" s="40">
        <v>40</v>
      </c>
      <c r="D65" s="43">
        <f t="shared" ca="1" si="3"/>
        <v>2</v>
      </c>
      <c r="G65" s="38" t="s">
        <v>145</v>
      </c>
      <c r="H65" s="40">
        <v>9</v>
      </c>
      <c r="I65" s="40">
        <v>8</v>
      </c>
      <c r="J65" s="40">
        <v>17</v>
      </c>
    </row>
    <row r="66" spans="1:10">
      <c r="A66" s="58">
        <v>42354</v>
      </c>
      <c r="B66" t="s">
        <v>139</v>
      </c>
      <c r="C66" s="40">
        <v>30</v>
      </c>
      <c r="D66" s="43">
        <f t="shared" ca="1" si="3"/>
        <v>2</v>
      </c>
    </row>
    <row r="67" spans="1:10">
      <c r="A67" s="58">
        <v>42354</v>
      </c>
      <c r="B67" t="s">
        <v>137</v>
      </c>
      <c r="C67" s="40">
        <v>16</v>
      </c>
      <c r="D67" s="43">
        <f t="shared" ca="1" si="3"/>
        <v>2</v>
      </c>
    </row>
    <row r="68" spans="1:10">
      <c r="A68" s="58">
        <v>42354</v>
      </c>
      <c r="B68" t="s">
        <v>138</v>
      </c>
      <c r="C68" s="40">
        <v>12</v>
      </c>
      <c r="D68" s="43">
        <f t="shared" ca="1" si="3"/>
        <v>2</v>
      </c>
    </row>
    <row r="69" spans="1:10">
      <c r="A69" s="58">
        <v>42354</v>
      </c>
      <c r="B69" t="s">
        <v>139</v>
      </c>
      <c r="C69" s="40">
        <v>30</v>
      </c>
      <c r="D69" s="43">
        <f t="shared" ca="1" si="3"/>
        <v>2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2015-12-18T03:52:32Z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