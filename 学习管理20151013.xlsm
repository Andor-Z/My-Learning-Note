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20" i="5" l="1"/>
  <c r="C21" i="5"/>
  <c r="C19" i="5"/>
  <c r="C68" i="3" l="1"/>
  <c r="C67" i="3" l="1"/>
  <c r="C66" i="3"/>
  <c r="C65" i="3" l="1"/>
  <c r="C64" i="3"/>
  <c r="C63" i="3" l="1"/>
  <c r="C62" i="3" l="1"/>
  <c r="C61" i="3" l="1"/>
  <c r="C18" i="5"/>
  <c r="C17" i="5" l="1"/>
  <c r="C60" i="3" l="1"/>
  <c r="C59" i="3" l="1"/>
  <c r="C58" i="3"/>
  <c r="C16" i="5" l="1"/>
  <c r="C57" i="3" l="1"/>
  <c r="C56" i="3" l="1"/>
  <c r="C55" i="3" l="1"/>
  <c r="E11" i="2"/>
  <c r="C15" i="5" l="1"/>
  <c r="C13" i="5"/>
  <c r="C14" i="5"/>
  <c r="C12" i="5"/>
  <c r="C11" i="5" l="1"/>
  <c r="C10" i="5" l="1"/>
  <c r="C54" i="3" l="1"/>
  <c r="C53" i="3" l="1"/>
  <c r="H76" i="3"/>
  <c r="C52" i="3" l="1"/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4" i="2"/>
  <c r="E15" i="2" l="1"/>
  <c r="C45" i="3" l="1"/>
  <c r="C44" i="3" l="1"/>
  <c r="C43" i="3" l="1"/>
  <c r="C42" i="3" l="1"/>
  <c r="E7" i="2" l="1"/>
  <c r="C41" i="3" l="1"/>
  <c r="G7" i="2" l="1"/>
  <c r="C40" i="3"/>
  <c r="C39" i="3" l="1"/>
  <c r="C38" i="3" l="1"/>
  <c r="C37" i="3" l="1"/>
  <c r="E3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9" i="2" l="1"/>
  <c r="E16" i="2"/>
  <c r="E17" i="2" l="1"/>
  <c r="C22" i="3"/>
  <c r="D22" i="3"/>
  <c r="C21" i="3" l="1"/>
  <c r="C20" i="3" l="1"/>
  <c r="C19" i="3" l="1"/>
  <c r="C18" i="3" l="1"/>
  <c r="C17" i="3" l="1"/>
  <c r="C16" i="3" l="1"/>
  <c r="E18" i="2" l="1"/>
  <c r="C15" i="3"/>
  <c r="E2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2" i="2" s="1"/>
  <c r="C4" i="3"/>
  <c r="D4" i="3"/>
  <c r="C3" i="3"/>
  <c r="C2" i="3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12" i="2"/>
  <c r="E33" i="2"/>
  <c r="G33" i="2" s="1"/>
  <c r="G76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<sst xmlns="http://schemas.openxmlformats.org/spreadsheetml/2006/main" count="287" uniqueCount="164">
  <si>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</si>
  <si>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</si>
  <si>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</si>
  <si>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</si>
  <si>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</si>
  <si>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</si>
  <si>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</si>
  <si>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</si>
  <si>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</si>
  <si>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</si>
  <si>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</si>
  <si>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</si>
  <si>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</si>
  <si>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</si>
  <si>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</si>
  <si>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</si>
  <si>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</si>
  <si>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</si>
  <si>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</si>
  <si>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</si>
  <si>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</si>
  <si>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</si>
  <si>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</si>
  <si>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</si>
  <si>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</si>
  <si>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</si>
  <si>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</si>
  <si>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</si>
  <si>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</si>
  <si>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</si>
  <si>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</si>
  <si>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</si>
  <si>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</si>
  <si>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</si>
  <si>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</si>
  <si>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</si>
  <si>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</si>
  <si>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</si>
  <si>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</si>
  <si>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</si>
  <si>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</si>
  <si>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</si>
  <si>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</si>
  <si>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</si>
  <si>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</si>
  <si>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</si>
  <si>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</si>
  <si>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</si>
  <si>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</si>
  <si>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</si>
  <si>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</si>
  <si>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</si>
  <si>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</si>
  <si>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</si>
  <si>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</si>
  <si>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</si>
  <si>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</si>
  <si>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</si>
  <si>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</si>
  <si>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</si>
  <si>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</si>
  <si>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</si>
  <si>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</si>
  <si>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</si>
  <si>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</si>
  <si>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</si>
  <si>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</si>
  <si>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</si>
  <si>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</si>
  <si>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</si>
  <si>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</si>
  <si>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</si>
  <si>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</si>
  <si>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</si>
  <si>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</si>
  <si>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</si>
  <si>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</si>
  <si>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</si>
  <si>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</si>
  <si>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</si>
  <si>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</si>
  <si>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</si>
  <si>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</si>
  <si>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</si>
  <si>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</si>
  <si>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</si>
  <si>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</si>
  <si>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</si>
  <si>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</si>
  <si>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</si>
  <si>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</si>
  <si>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</si>
  <si>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</si>
  <si>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</si>
  <si>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</si>
  <si>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</si>
  <si>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</si>
  <si>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</si>
  <si>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</si>
  <si>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</si>
  <si>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</si>
  <si>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</si>
  <si>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</si>
  <si>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</si>
  <si>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</si>
  <si>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</si>
  <si>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</si>
  <si>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</si>
  <si>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</si>
  <si>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</si>
  <si>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</si>
  <si>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</si>
  <si>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</si>
  <si>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</si>
  <si>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</si>
  <si>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</si>
  <si>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</si>
  <si>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</si>
  <si>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</si>
  <si>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</si>
  <si>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</si>
  <si>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</si>
  <si>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</si>
  <si>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</si>
  <si>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</si>
  <si>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</si>
  <si>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</si>
  <si>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</si>
  <si>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</si>
  <si>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</si>
  <si>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</si>
  <si>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</si>
  <si>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</si>
  <si>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</si>
  <si>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</si>
  <si>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</si>
  <si>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</si>
  <si>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</si>
  <si>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</si>
  <si>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</si>
  <si>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</si>
  <si>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</si>
  <si>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</si>
  <si>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</si>
  <si>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</si>
  <si>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</si>
  <si>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</si>
  <si>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</si>
  <si>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</si>
  <si>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</si>
  <si>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</si>
  <si>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</si>
  <si>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</si>
  <si>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</si>
  <si>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</si>
  <si>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</si>
  <si>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</si>
  <si>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11月17日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</si>
  <si>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</si>
  <si>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</si>
  <si>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</si>
  <si>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</si>
  <si>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11月18日</t>
  </si>
  <si>
    <t>11月19日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</si>
</sst>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9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7" fontId="0" fillId="0" borderId="0" xfId="0" pivotButton="1" applyFont="1" applyAlignment="1">
      <alignment horizontal="left" vertical="center"/>
    </xf>
    <xf numFmtId="177" fontId="11" fillId="0" borderId="0" xfId="0" applyFont="1" applyAlignment="1">
      <alignment horizontal="lef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59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58"/>
      <tableStyleElement type="headerRow" dxfId="57"/>
    </tableStyle>
    <tableStyle name="学习" table="0" count="12">
      <tableStyleElement type="wholeTable" dxfId="56"/>
      <tableStyleElement type="headerRow" dxfId="55"/>
      <tableStyleElement type="totalRow" dxfId="54"/>
      <tableStyleElement type="firstColumn" dxfId="53"/>
      <tableStyleElement type="secondRowStripe" dxfId="52"/>
      <tableStyleElement type="secondColumnStripe" dxfId="51"/>
      <tableStyleElement type="firstSubtotalColumn" dxfId="50"/>
      <tableStyleElement type="firstSubtotalRow" dxfId="49"/>
      <tableStyleElement type="firstRowSubheading" dxfId="48"/>
      <tableStyleElement type="secondRowSubheading" dxfId="47"/>
      <tableStyleElement type="pageFieldLabels" dxfId="46"/>
      <tableStyleElement type="pageFieldValues" dxfId="45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28.683963425923" createdVersion="5" refreshedVersion="5" minRefreshableVersion="3" recordCount="67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1T00:00:00" count="27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0">
      <sharedItems containsSemiMixedTypes="0" containsString="0" containsNumber="1" containsInteger="1" minValue="0" maxValue="28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28.683963657408" createdVersion="6" refreshedVersion="5" minRefreshableVersion="3" recordCount="17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19T10:13:00" count="13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</sharedItems>
      <fieldGroup base="0">
        <rangePr groupBy="days" startDate="2015-11-15T21:39:00" endDate="2015-11-19T10:1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19"/>
        </groupItems>
      </fieldGroup>
    </cacheField>
    <cacheField name="项目" numFmtId="177">
      <sharedItems count="5">
        <s v="下蹲"/>
        <s v="小腿上提"/>
        <s v="仰卧起坐"/>
        <s v="俯卧撑"/>
        <s v="眼保健操"/>
      </sharedItems>
    </cacheField>
    <cacheField name="距离今天" numFmtId="180">
      <sharedItems containsSemiMixedTypes="0" containsString="0" containsNumber="1" containsInteger="1" minValue="1" maxValue="5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">
  <r>
    <x v="0"/>
    <x v="0"/>
    <n v="28"/>
    <d v="1899-12-30T01:00:00"/>
    <m/>
    <m/>
    <m/>
  </r>
  <r>
    <x v="0"/>
    <x v="1"/>
    <n v="28"/>
    <d v="1899-12-30T01:30:00"/>
    <m/>
    <m/>
    <m/>
  </r>
  <r>
    <x v="1"/>
    <x v="2"/>
    <n v="27"/>
    <d v="1899-12-30T02:25:00"/>
    <m/>
    <d v="1899-12-30T00:00:00"/>
    <d v="1899-12-30T02:25:00"/>
  </r>
  <r>
    <x v="2"/>
    <x v="3"/>
    <n v="26"/>
    <d v="1899-12-30T00:21:00"/>
    <m/>
    <d v="1899-12-30T12:45:00"/>
    <d v="1899-12-30T13:06:00"/>
  </r>
  <r>
    <x v="3"/>
    <x v="0"/>
    <n v="25"/>
    <d v="1899-12-30T01:00:00"/>
    <m/>
    <m/>
    <m/>
  </r>
  <r>
    <x v="3"/>
    <x v="1"/>
    <n v="25"/>
    <d v="1899-12-30T01:00:00"/>
    <m/>
    <m/>
    <m/>
  </r>
  <r>
    <x v="4"/>
    <x v="0"/>
    <n v="24"/>
    <d v="1899-12-30T01:30:00"/>
    <m/>
    <m/>
    <m/>
  </r>
  <r>
    <x v="4"/>
    <x v="4"/>
    <n v="24"/>
    <d v="1899-12-30T00:30:00"/>
    <m/>
    <m/>
    <m/>
  </r>
  <r>
    <x v="5"/>
    <x v="0"/>
    <n v="23"/>
    <d v="1899-12-30T00:45:00"/>
    <m/>
    <m/>
    <m/>
  </r>
  <r>
    <x v="5"/>
    <x v="5"/>
    <n v="23"/>
    <d v="1899-12-30T01:05:00"/>
    <m/>
    <m/>
    <m/>
  </r>
  <r>
    <x v="6"/>
    <x v="0"/>
    <n v="22"/>
    <d v="1899-12-30T01:00:00"/>
    <m/>
    <m/>
    <m/>
  </r>
  <r>
    <x v="7"/>
    <x v="0"/>
    <n v="21"/>
    <d v="1899-12-30T01:00:00"/>
    <m/>
    <m/>
    <m/>
  </r>
  <r>
    <x v="8"/>
    <x v="6"/>
    <n v="20"/>
    <d v="1899-12-30T00:53:00"/>
    <m/>
    <d v="1899-12-30T14:37:00"/>
    <d v="1899-12-30T15:30:00"/>
  </r>
  <r>
    <x v="9"/>
    <x v="7"/>
    <n v="18"/>
    <d v="1899-12-30T00:45:00"/>
    <m/>
    <m/>
    <m/>
  </r>
  <r>
    <x v="10"/>
    <x v="0"/>
    <n v="17"/>
    <d v="1899-12-30T01:00:00"/>
    <m/>
    <m/>
    <m/>
  </r>
  <r>
    <x v="10"/>
    <x v="7"/>
    <n v="17"/>
    <d v="1899-12-30T00:30:00"/>
    <m/>
    <m/>
    <m/>
  </r>
  <r>
    <x v="11"/>
    <x v="0"/>
    <n v="16"/>
    <d v="1899-12-30T01:00:00"/>
    <m/>
    <m/>
    <m/>
  </r>
  <r>
    <x v="11"/>
    <x v="7"/>
    <n v="16"/>
    <d v="1899-12-30T00:30:00"/>
    <m/>
    <m/>
    <m/>
  </r>
  <r>
    <x v="11"/>
    <x v="1"/>
    <n v="16"/>
    <d v="1899-12-30T01:00:00"/>
    <m/>
    <m/>
    <m/>
  </r>
  <r>
    <x v="11"/>
    <x v="5"/>
    <n v="16"/>
    <d v="1899-12-30T01:30:00"/>
    <m/>
    <m/>
    <m/>
  </r>
  <r>
    <x v="11"/>
    <x v="8"/>
    <n v="16"/>
    <d v="1899-12-30T01:04:00"/>
    <m/>
    <d v="1899-12-30T19:41:00"/>
    <d v="1899-12-30T20:45:00"/>
  </r>
  <r>
    <x v="12"/>
    <x v="0"/>
    <n v="15"/>
    <d v="1899-12-30T01:10:00"/>
    <m/>
    <m/>
    <m/>
  </r>
  <r>
    <x v="12"/>
    <x v="9"/>
    <n v="15"/>
    <d v="1899-12-30T00:30:00"/>
    <m/>
    <m/>
    <m/>
  </r>
  <r>
    <x v="12"/>
    <x v="10"/>
    <n v="15"/>
    <d v="1899-12-30T01:00:00"/>
    <m/>
    <m/>
    <m/>
  </r>
  <r>
    <x v="13"/>
    <x v="0"/>
    <n v="14"/>
    <d v="1899-12-30T01:00:00"/>
    <m/>
    <m/>
    <m/>
  </r>
  <r>
    <x v="13"/>
    <x v="7"/>
    <n v="14"/>
    <d v="1899-12-30T00:45:00"/>
    <m/>
    <m/>
    <m/>
  </r>
  <r>
    <x v="13"/>
    <x v="10"/>
    <n v="14"/>
    <d v="1899-12-30T01:00:00"/>
    <m/>
    <m/>
    <m/>
  </r>
  <r>
    <x v="14"/>
    <x v="9"/>
    <n v="13"/>
    <d v="1899-12-30T00:30:00"/>
    <m/>
    <m/>
    <m/>
  </r>
  <r>
    <x v="14"/>
    <x v="10"/>
    <n v="13"/>
    <d v="1899-12-30T02:30:00"/>
    <m/>
    <m/>
    <m/>
  </r>
  <r>
    <x v="15"/>
    <x v="1"/>
    <n v="12"/>
    <d v="1899-12-30T00:45:00"/>
    <m/>
    <m/>
    <m/>
  </r>
  <r>
    <x v="15"/>
    <x v="5"/>
    <n v="12"/>
    <d v="1899-12-30T00:30:00"/>
    <m/>
    <m/>
    <m/>
  </r>
  <r>
    <x v="15"/>
    <x v="9"/>
    <n v="12"/>
    <d v="1899-12-30T00:45:00"/>
    <s v="初步了解mathematica"/>
    <m/>
    <m/>
  </r>
  <r>
    <x v="16"/>
    <x v="10"/>
    <n v="11"/>
    <d v="1899-12-30T01:00:00"/>
    <m/>
    <m/>
    <m/>
  </r>
  <r>
    <x v="16"/>
    <x v="0"/>
    <n v="11"/>
    <d v="1899-12-30T01:00:00"/>
    <m/>
    <m/>
    <m/>
  </r>
  <r>
    <x v="16"/>
    <x v="7"/>
    <n v="11"/>
    <d v="1899-12-30T00:30:00"/>
    <m/>
    <m/>
    <m/>
  </r>
  <r>
    <x v="16"/>
    <x v="11"/>
    <n v="11"/>
    <d v="1899-12-30T01:15:00"/>
    <m/>
    <m/>
    <m/>
  </r>
  <r>
    <x v="17"/>
    <x v="0"/>
    <n v="10"/>
    <d v="1899-12-30T00:30:00"/>
    <s v="第24讲是宏表函数，觉得并没有什么用，没怎么看"/>
    <m/>
    <m/>
  </r>
  <r>
    <x v="17"/>
    <x v="7"/>
    <n v="10"/>
    <d v="1899-12-30T00:30:00"/>
    <m/>
    <m/>
    <m/>
  </r>
  <r>
    <x v="18"/>
    <x v="12"/>
    <n v="9"/>
    <d v="1899-12-30T01:00:00"/>
    <m/>
    <m/>
    <m/>
  </r>
  <r>
    <x v="18"/>
    <x v="11"/>
    <n v="9"/>
    <d v="1899-12-30T00:45:00"/>
    <m/>
    <m/>
    <m/>
  </r>
  <r>
    <x v="19"/>
    <x v="11"/>
    <n v="8"/>
    <d v="1899-12-30T01:00:00"/>
    <m/>
    <m/>
    <m/>
  </r>
  <r>
    <x v="19"/>
    <x v="7"/>
    <n v="8"/>
    <d v="1899-12-30T00:40:00"/>
    <m/>
    <m/>
    <m/>
  </r>
  <r>
    <x v="20"/>
    <x v="11"/>
    <n v="7"/>
    <d v="1899-12-30T01:10:00"/>
    <m/>
    <m/>
    <m/>
  </r>
  <r>
    <x v="20"/>
    <x v="7"/>
    <n v="7"/>
    <d v="1899-12-30T00:30:00"/>
    <m/>
    <m/>
    <m/>
  </r>
  <r>
    <x v="21"/>
    <x v="13"/>
    <n v="5"/>
    <d v="1899-12-30T02:00:00"/>
    <m/>
    <m/>
    <m/>
  </r>
  <r>
    <x v="22"/>
    <x v="7"/>
    <n v="4"/>
    <d v="1899-12-30T00:30:00"/>
    <m/>
    <m/>
    <m/>
  </r>
  <r>
    <x v="22"/>
    <x v="12"/>
    <n v="4"/>
    <d v="1899-12-30T01:00:00"/>
    <m/>
    <m/>
    <m/>
  </r>
  <r>
    <x v="22"/>
    <x v="11"/>
    <n v="4"/>
    <d v="1899-12-30T00:30:00"/>
    <m/>
    <m/>
    <m/>
  </r>
  <r>
    <x v="22"/>
    <x v="13"/>
    <n v="4"/>
    <d v="1899-12-30T01:00:00"/>
    <m/>
    <m/>
    <m/>
  </r>
  <r>
    <x v="22"/>
    <x v="13"/>
    <n v="4"/>
    <d v="1899-12-30T00:30:00"/>
    <m/>
    <m/>
    <m/>
  </r>
  <r>
    <x v="23"/>
    <x v="11"/>
    <n v="3"/>
    <d v="1899-12-30T00:45:00"/>
    <m/>
    <m/>
    <m/>
  </r>
  <r>
    <x v="23"/>
    <x v="7"/>
    <n v="3"/>
    <d v="1899-12-30T00:30:00"/>
    <m/>
    <m/>
    <m/>
  </r>
  <r>
    <x v="23"/>
    <x v="12"/>
    <n v="3"/>
    <d v="1899-12-30T00:45:00"/>
    <m/>
    <m/>
    <m/>
  </r>
  <r>
    <x v="23"/>
    <x v="14"/>
    <n v="3"/>
    <d v="1899-12-30T01:00:00"/>
    <m/>
    <m/>
    <m/>
  </r>
  <r>
    <x v="24"/>
    <x v="11"/>
    <n v="2"/>
    <d v="1899-12-30T00:45:00"/>
    <m/>
    <m/>
    <m/>
  </r>
  <r>
    <x v="24"/>
    <x v="7"/>
    <n v="2"/>
    <d v="1899-12-30T00:30:00"/>
    <m/>
    <m/>
    <m/>
  </r>
  <r>
    <x v="24"/>
    <x v="13"/>
    <n v="2"/>
    <d v="1899-12-30T00:30:00"/>
    <m/>
    <m/>
    <m/>
  </r>
  <r>
    <x v="25"/>
    <x v="13"/>
    <n v="1"/>
    <d v="1899-12-30T01:15:00"/>
    <m/>
    <m/>
    <m/>
  </r>
  <r>
    <x v="25"/>
    <x v="11"/>
    <n v="1"/>
    <d v="1899-12-30T00:30:00"/>
    <m/>
    <m/>
    <m/>
  </r>
  <r>
    <x v="25"/>
    <x v="9"/>
    <n v="1"/>
    <d v="1899-12-30T00:45:00"/>
    <m/>
    <m/>
    <m/>
  </r>
  <r>
    <x v="25"/>
    <x v="7"/>
    <n v="1"/>
    <d v="1899-12-30T00:45:00"/>
    <m/>
    <m/>
    <m/>
  </r>
  <r>
    <x v="25"/>
    <x v="12"/>
    <n v="1"/>
    <d v="1899-12-30T01:00:00"/>
    <m/>
    <m/>
    <m/>
  </r>
  <r>
    <x v="25"/>
    <x v="14"/>
    <n v="1"/>
    <d v="1899-12-30T02:00:00"/>
    <m/>
    <m/>
    <m/>
  </r>
  <r>
    <x v="26"/>
    <x v="11"/>
    <n v="0"/>
    <d v="1899-12-30T00:50:00"/>
    <m/>
    <m/>
    <m/>
  </r>
  <r>
    <x v="26"/>
    <x v="7"/>
    <n v="0"/>
    <d v="1899-12-30T00:40:00"/>
    <m/>
    <m/>
    <m/>
  </r>
  <r>
    <x v="26"/>
    <x v="10"/>
    <n v="0"/>
    <d v="1899-12-30T00:40:00"/>
    <m/>
    <m/>
    <m/>
  </r>
  <r>
    <x v="26"/>
    <x v="12"/>
    <n v="0"/>
    <d v="1899-12-30T01:0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">
  <r>
    <x v="0"/>
    <x v="0"/>
    <n v="5"/>
    <n v="30"/>
  </r>
  <r>
    <x v="1"/>
    <x v="1"/>
    <n v="5"/>
    <n v="50"/>
  </r>
  <r>
    <x v="2"/>
    <x v="2"/>
    <n v="5"/>
    <n v="13"/>
  </r>
  <r>
    <x v="3"/>
    <x v="3"/>
    <n v="5"/>
    <n v="10"/>
  </r>
  <r>
    <x v="4"/>
    <x v="0"/>
    <n v="5"/>
    <n v="30"/>
  </r>
  <r>
    <x v="5"/>
    <x v="1"/>
    <n v="5"/>
    <n v="45"/>
  </r>
  <r>
    <x v="6"/>
    <x v="2"/>
    <n v="5"/>
    <n v="20"/>
  </r>
  <r>
    <x v="7"/>
    <x v="3"/>
    <n v="5"/>
    <n v="15"/>
  </r>
  <r>
    <x v="8"/>
    <x v="3"/>
    <n v="3"/>
    <n v="20"/>
  </r>
  <r>
    <x v="8"/>
    <x v="3"/>
    <n v="3"/>
    <n v="15"/>
  </r>
  <r>
    <x v="9"/>
    <x v="1"/>
    <n v="3"/>
    <n v="35"/>
  </r>
  <r>
    <x v="9"/>
    <x v="2"/>
    <n v="3"/>
    <n v="20"/>
  </r>
  <r>
    <x v="9"/>
    <x v="3"/>
    <n v="3"/>
    <n v="15"/>
  </r>
  <r>
    <x v="9"/>
    <x v="0"/>
    <n v="3"/>
    <n v="35"/>
  </r>
  <r>
    <x v="10"/>
    <x v="4"/>
    <n v="2"/>
    <n v="1"/>
  </r>
  <r>
    <x v="11"/>
    <x v="4"/>
    <n v="1"/>
    <n v="1"/>
  </r>
  <r>
    <x v="12"/>
    <x v="3"/>
    <n v="1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78:H87" firstHeaderRow="1" firstDataRow="2" firstDataCol="1"/>
  <pivotFields count="7">
    <pivotField axis="axisCol" numFmtId="181" showAll="0" sortType="descending">
      <items count="28"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8">
    <i>
      <x/>
    </i>
    <i>
      <x v="2"/>
    </i>
    <i>
      <x v="4"/>
    </i>
    <i>
      <x v="6"/>
    </i>
    <i>
      <x v="7"/>
    </i>
    <i>
      <x v="9"/>
    </i>
    <i>
      <x v="15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求和项:时长" fld="3" baseField="0" baseItem="3" numFmtId="176"/>
  </dataFields>
  <formats count="16">
    <format dxfId="44">
      <pivotArea outline="0" collapsedLevelsAreSubtotals="1" fieldPosition="0"/>
    </format>
    <format dxfId="43">
      <pivotArea type="all" dataOnly="0" outline="0" fieldPosition="0"/>
    </format>
    <format dxfId="42">
      <pivotArea field="0" type="button" dataOnly="0" labelOnly="1" outline="0" axis="axisCol" fieldPosition="0"/>
    </format>
    <format dxfId="41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0">
      <pivotArea dataOnly="0" labelOnly="1" grandCol="1" outline="0" fieldPosition="0"/>
    </format>
    <format dxfId="39">
      <pivotArea field="0" type="button" dataOnly="0" labelOnly="1" outline="0" axis="axisCol" fieldPosition="0"/>
    </format>
    <format dxfId="3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7">
      <pivotArea dataOnly="0" labelOnly="1" grandCol="1" outline="0" fieldPosition="0"/>
    </format>
    <format dxfId="36">
      <pivotArea dataOnly="0" labelOnly="1" grandCol="1" outline="0" fieldPosition="0"/>
    </format>
    <format dxfId="35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4">
      <pivotArea dataOnly="0" labelOnly="1" grandRow="1" outline="0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1">
            <x v="0"/>
          </reference>
        </references>
      </pivotArea>
    </format>
    <format dxfId="31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0">
      <pivotArea field="1" type="button" dataOnly="0" labelOnly="1" outline="0" axis="axisRow" fieldPosition="0"/>
    </format>
    <format dxfId="29">
      <pivotArea dataOnly="0" labelOnly="1" fieldPosition="0">
        <references count="1">
          <reference field="1" count="1">
            <x v="15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23" maxVal="423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26:L32" firstHeaderRow="1" firstDataRow="2" firstDataCol="1"/>
  <pivotFields count="4">
    <pivotField axis="axisRow" numFmtId="22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Col" showAll="0">
      <items count="6">
        <item x="3"/>
        <item x="0"/>
        <item x="1"/>
        <item x="2"/>
        <item x="4"/>
        <item t="default"/>
      </items>
    </pivotField>
    <pivotField numFmtId="180" showAll="0" defaultSubtotal="0"/>
    <pivotField dataField="1" showAll="0"/>
  </pivotFields>
  <rowFields count="1">
    <field x="0"/>
  </rowFields>
  <rowItems count="5">
    <i>
      <x v="319"/>
    </i>
    <i>
      <x v="321"/>
    </i>
    <i>
      <x v="322"/>
    </i>
    <i>
      <x v="323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求和项:次数/时长" fld="3" baseField="0" baseItem="0"/>
  </dataFields>
  <formats count="1">
    <format dxfId="28">
      <pivotArea type="all" dataOnly="0" outline="0" fieldPosition="0"/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36</v>
      </c>
      <c r="H3" s="13">
        <f ca="1">H2-TODAY()</f>
        <v>80</v>
      </c>
      <c r="I3" s="13">
        <f ca="1">I2-TODAY()</f>
        <v>140</v>
      </c>
      <c r="J3" s="13">
        <f ca="1">J2-TODAY()</f>
        <v>218</v>
      </c>
      <c r="K3" s="13">
        <f ca="1">K2-TODAY()</f>
        <v>400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A2" sqref="A2:XFD2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151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150</v>
      </c>
      <c r="C8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workbookViewId="0">
      <selection activeCell="E7" sqref="E7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0.34722222222222227</v>
      </c>
    </row>
    <row r="3" spans="1:7">
      <c r="A3" s="2" t="s">
        <v>116</v>
      </c>
      <c r="C3" s="3" t="s">
        <v>118</v>
      </c>
      <c r="D3" s="4">
        <v>1</v>
      </c>
      <c r="E3" s="5">
        <f>SUMIF(学习记录!B:B,C3,学习记录!D:D)</f>
        <v>0.33333333333333326</v>
      </c>
    </row>
    <row r="4" spans="1:7">
      <c r="A4" s="2" t="s">
        <v>37</v>
      </c>
      <c r="C4" s="2" t="s">
        <v>154</v>
      </c>
      <c r="D4" s="4">
        <v>1</v>
      </c>
      <c r="E4" s="5">
        <f>SUMIF(学习记录!B:B,C4,学习记录!D:D)</f>
        <v>0.27083333333333337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SUMIF(学习记录!B:B,C7,学习记录!D:D)</f>
        <v>0.23958333333333331</v>
      </c>
      <c r="F7" s="33">
        <v>0.58333333333333337</v>
      </c>
      <c r="G7" s="32">
        <f>E7/F7</f>
        <v>0.41071428571428564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24" t="s">
        <v>108</v>
      </c>
      <c r="D9" s="4">
        <v>1</v>
      </c>
      <c r="E9" s="5">
        <f>SUMIF(学习记录!B:B,C9,学习记录!D:D)</f>
        <v>0.13541666666666666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>
      <c r="A11" s="2" t="s">
        <v>158</v>
      </c>
      <c r="C11" s="2" t="s">
        <v>160</v>
      </c>
      <c r="D11" s="4">
        <v>1</v>
      </c>
      <c r="E11" s="5">
        <f>SUMIF(学习记录!B:B,C11,学习记录!D:D)</f>
        <v>0.20833333333333331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57"/>
  <sheetViews>
    <sheetView tabSelected="1" topLeftCell="A61" workbookViewId="0">
      <selection activeCell="E83" sqref="E83"/>
    </sheetView>
  </sheetViews>
  <sheetFormatPr defaultColWidth="9" defaultRowHeight="13.5"/>
  <cols>
    <col min="1" max="1" width="6.5" style="58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9.625" style="1" customWidth="1"/>
    <col min="8" max="8" width="19.875" style="50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58" t="s">
        <v>31</v>
      </c>
      <c r="B1" t="s">
        <v>32</v>
      </c>
      <c r="C1" s="35" t="s">
        <v>0</v>
      </c>
      <c r="D1" s="36" t="s">
        <v>3</v>
      </c>
      <c r="E1" s="47" t="s">
        <v>155</v>
      </c>
      <c r="F1" s="1" t="s">
        <v>1</v>
      </c>
      <c r="G1" s="1" t="s">
        <v>2</v>
      </c>
    </row>
    <row r="2" spans="1:7">
      <c r="A2" s="58">
        <v>42300</v>
      </c>
      <c r="B2" t="s">
        <v>8</v>
      </c>
      <c r="C2" s="35">
        <f t="shared" ref="C2:C50" ca="1" si="0">TODAY()-A2</f>
        <v>28</v>
      </c>
      <c r="D2" s="34">
        <v>4.1666666666666699E-2</v>
      </c>
    </row>
    <row r="3" spans="1:7">
      <c r="A3" s="58">
        <v>42300</v>
      </c>
      <c r="B3" t="s">
        <v>12</v>
      </c>
      <c r="C3" s="35">
        <f t="shared" ca="1" si="0"/>
        <v>28</v>
      </c>
      <c r="D3" s="34">
        <v>6.25E-2</v>
      </c>
    </row>
    <row r="4" spans="1:7">
      <c r="A4" s="58">
        <v>42301</v>
      </c>
      <c r="B4" t="s">
        <v>33</v>
      </c>
      <c r="C4" s="35">
        <f t="shared" ca="1" si="0"/>
        <v>27</v>
      </c>
      <c r="D4" s="34">
        <f>G4-F4</f>
        <v>0.100694444444444</v>
      </c>
      <c r="F4" s="1">
        <v>0</v>
      </c>
      <c r="G4" s="1">
        <v>0.100694444444444</v>
      </c>
    </row>
    <row r="5" spans="1:7">
      <c r="A5" s="58">
        <v>42302</v>
      </c>
      <c r="B5" t="s">
        <v>22</v>
      </c>
      <c r="C5" s="35">
        <f t="shared" ca="1" si="0"/>
        <v>26</v>
      </c>
      <c r="D5" s="34">
        <f>G5-F5</f>
        <v>1.4583333333332948E-2</v>
      </c>
      <c r="F5" s="1">
        <v>0.53125</v>
      </c>
      <c r="G5" s="1">
        <v>0.54583333333333295</v>
      </c>
    </row>
    <row r="6" spans="1:7">
      <c r="A6" s="58">
        <v>42303</v>
      </c>
      <c r="B6" t="s">
        <v>8</v>
      </c>
      <c r="C6" s="35">
        <f t="shared" ca="1" si="0"/>
        <v>25</v>
      </c>
      <c r="D6" s="34">
        <v>4.1666666666666699E-2</v>
      </c>
    </row>
    <row r="7" spans="1:7">
      <c r="A7" s="58">
        <v>42303</v>
      </c>
      <c r="B7" t="s">
        <v>12</v>
      </c>
      <c r="C7" s="35">
        <f t="shared" ca="1" si="0"/>
        <v>25</v>
      </c>
      <c r="D7" s="34">
        <v>4.1666666666666664E-2</v>
      </c>
    </row>
    <row r="8" spans="1:7">
      <c r="A8" s="58">
        <v>42304</v>
      </c>
      <c r="B8" t="s">
        <v>8</v>
      </c>
      <c r="C8" s="35">
        <f t="shared" ca="1" si="0"/>
        <v>24</v>
      </c>
      <c r="D8" s="34">
        <v>6.25E-2</v>
      </c>
    </row>
    <row r="9" spans="1:7">
      <c r="A9" s="58">
        <v>42304</v>
      </c>
      <c r="B9" t="s">
        <v>24</v>
      </c>
      <c r="C9" s="35">
        <f t="shared" ca="1" si="0"/>
        <v>24</v>
      </c>
      <c r="D9" s="34">
        <v>2.0833333333333332E-2</v>
      </c>
    </row>
    <row r="10" spans="1:7">
      <c r="A10" s="58">
        <v>42305</v>
      </c>
      <c r="B10" t="s">
        <v>8</v>
      </c>
      <c r="C10" s="35">
        <f t="shared" ca="1" si="0"/>
        <v>23</v>
      </c>
      <c r="D10" s="34">
        <v>3.125E-2</v>
      </c>
    </row>
    <row r="11" spans="1:7">
      <c r="A11" s="58">
        <v>42305</v>
      </c>
      <c r="B11" t="s">
        <v>36</v>
      </c>
      <c r="C11" s="35">
        <f t="shared" ca="1" si="0"/>
        <v>23</v>
      </c>
      <c r="D11" s="34">
        <v>4.5138888888888888E-2</v>
      </c>
    </row>
    <row r="12" spans="1:7">
      <c r="A12" s="58">
        <v>42306</v>
      </c>
      <c r="B12" t="s">
        <v>8</v>
      </c>
      <c r="C12" s="35">
        <f t="shared" ca="1" si="0"/>
        <v>22</v>
      </c>
      <c r="D12" s="34">
        <v>4.1666666666666664E-2</v>
      </c>
    </row>
    <row r="13" spans="1:7">
      <c r="A13" s="58">
        <v>42307</v>
      </c>
      <c r="B13" t="s">
        <v>8</v>
      </c>
      <c r="C13" s="35">
        <f t="shared" ca="1" si="0"/>
        <v>21</v>
      </c>
      <c r="D13" s="34">
        <v>4.1666666666666664E-2</v>
      </c>
    </row>
    <row r="14" spans="1:7">
      <c r="A14" s="58">
        <v>42308</v>
      </c>
      <c r="B14" t="s">
        <v>83</v>
      </c>
      <c r="C14" s="35">
        <f t="shared" ca="1" si="0"/>
        <v>20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>
      <c r="A15" s="58">
        <v>42310</v>
      </c>
      <c r="B15" t="s">
        <v>86</v>
      </c>
      <c r="C15" s="35">
        <f t="shared" ca="1" si="0"/>
        <v>18</v>
      </c>
      <c r="D15" s="34">
        <v>3.125E-2</v>
      </c>
    </row>
    <row r="16" spans="1:7">
      <c r="A16" s="58">
        <v>42311</v>
      </c>
      <c r="B16" t="s">
        <v>8</v>
      </c>
      <c r="C16" s="35">
        <f t="shared" ca="1" si="0"/>
        <v>17</v>
      </c>
      <c r="D16" s="34">
        <v>4.1666666666666664E-2</v>
      </c>
    </row>
    <row r="17" spans="1:7">
      <c r="A17" s="58">
        <v>42311</v>
      </c>
      <c r="B17" t="s">
        <v>86</v>
      </c>
      <c r="C17" s="35">
        <f t="shared" ca="1" si="0"/>
        <v>17</v>
      </c>
      <c r="D17" s="34">
        <v>2.0833333333333332E-2</v>
      </c>
    </row>
    <row r="18" spans="1:7">
      <c r="A18" s="58">
        <v>42312</v>
      </c>
      <c r="B18" t="s">
        <v>8</v>
      </c>
      <c r="C18" s="35">
        <f t="shared" ca="1" si="0"/>
        <v>16</v>
      </c>
      <c r="D18" s="34">
        <v>4.1666666666666664E-2</v>
      </c>
    </row>
    <row r="19" spans="1:7">
      <c r="A19" s="58">
        <v>42312</v>
      </c>
      <c r="B19" t="s">
        <v>86</v>
      </c>
      <c r="C19" s="35">
        <f t="shared" ca="1" si="0"/>
        <v>16</v>
      </c>
      <c r="D19" s="34">
        <v>2.0833333333333332E-2</v>
      </c>
    </row>
    <row r="20" spans="1:7">
      <c r="A20" s="58">
        <v>42312</v>
      </c>
      <c r="B20" t="s">
        <v>12</v>
      </c>
      <c r="C20" s="35">
        <f t="shared" ca="1" si="0"/>
        <v>16</v>
      </c>
      <c r="D20" s="34">
        <v>4.1666666666666664E-2</v>
      </c>
    </row>
    <row r="21" spans="1:7">
      <c r="A21" s="58">
        <v>42312</v>
      </c>
      <c r="B21" t="s">
        <v>36</v>
      </c>
      <c r="C21" s="35">
        <f t="shared" ca="1" si="0"/>
        <v>16</v>
      </c>
      <c r="D21" s="34">
        <v>6.25E-2</v>
      </c>
    </row>
    <row r="22" spans="1:7">
      <c r="A22" s="58">
        <v>42312</v>
      </c>
      <c r="B22" t="s">
        <v>104</v>
      </c>
      <c r="C22" s="35">
        <f t="shared" ca="1" si="0"/>
        <v>16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>
      <c r="A23" s="58">
        <v>42313</v>
      </c>
      <c r="B23" t="s">
        <v>8</v>
      </c>
      <c r="C23" s="35">
        <f t="shared" ca="1" si="0"/>
        <v>15</v>
      </c>
      <c r="D23" s="34">
        <v>4.8611111111111112E-2</v>
      </c>
    </row>
    <row r="24" spans="1:7">
      <c r="A24" s="58">
        <v>42313</v>
      </c>
      <c r="B24" t="s">
        <v>109</v>
      </c>
      <c r="C24" s="35">
        <f t="shared" ca="1" si="0"/>
        <v>15</v>
      </c>
      <c r="D24" s="34">
        <v>2.0833333333333332E-2</v>
      </c>
    </row>
    <row r="25" spans="1:7">
      <c r="A25" s="58">
        <v>42313</v>
      </c>
      <c r="B25" t="s">
        <v>14</v>
      </c>
      <c r="C25" s="35">
        <f t="shared" ca="1" si="0"/>
        <v>15</v>
      </c>
      <c r="D25" s="34">
        <v>4.1666666666666664E-2</v>
      </c>
    </row>
    <row r="26" spans="1:7">
      <c r="A26" s="58">
        <v>42314</v>
      </c>
      <c r="B26" t="s">
        <v>8</v>
      </c>
      <c r="C26" s="35">
        <f t="shared" ca="1" si="0"/>
        <v>14</v>
      </c>
      <c r="D26" s="34">
        <v>4.1666666666666664E-2</v>
      </c>
    </row>
    <row r="27" spans="1:7">
      <c r="A27" s="58">
        <v>42314</v>
      </c>
      <c r="B27" t="s">
        <v>86</v>
      </c>
      <c r="C27" s="35">
        <f t="shared" ca="1" si="0"/>
        <v>14</v>
      </c>
      <c r="D27" s="34">
        <v>3.125E-2</v>
      </c>
    </row>
    <row r="28" spans="1:7">
      <c r="A28" s="58">
        <v>42314</v>
      </c>
      <c r="B28" t="s">
        <v>14</v>
      </c>
      <c r="C28" s="35">
        <f t="shared" ca="1" si="0"/>
        <v>14</v>
      </c>
      <c r="D28" s="34">
        <v>4.1666666666666664E-2</v>
      </c>
    </row>
    <row r="29" spans="1:7">
      <c r="A29" s="58">
        <v>42315</v>
      </c>
      <c r="B29" t="s">
        <v>109</v>
      </c>
      <c r="C29" s="35">
        <f t="shared" ca="1" si="0"/>
        <v>13</v>
      </c>
      <c r="D29" s="34">
        <v>2.0833333333333332E-2</v>
      </c>
    </row>
    <row r="30" spans="1:7">
      <c r="A30" s="58">
        <v>42315</v>
      </c>
      <c r="B30" t="s">
        <v>14</v>
      </c>
      <c r="C30" s="35">
        <f t="shared" ca="1" si="0"/>
        <v>13</v>
      </c>
      <c r="D30" s="34">
        <v>0.10416666666666667</v>
      </c>
      <c r="E30" s="43"/>
    </row>
    <row r="31" spans="1:7">
      <c r="A31" s="58">
        <v>42316</v>
      </c>
      <c r="B31" t="s">
        <v>12</v>
      </c>
      <c r="C31" s="35">
        <f t="shared" ca="1" si="0"/>
        <v>12</v>
      </c>
      <c r="D31" s="34">
        <v>3.125E-2</v>
      </c>
    </row>
    <row r="32" spans="1:7">
      <c r="A32" s="58">
        <v>42316</v>
      </c>
      <c r="B32" t="s">
        <v>36</v>
      </c>
      <c r="C32" s="35">
        <f t="shared" ca="1" si="0"/>
        <v>12</v>
      </c>
      <c r="D32" s="34">
        <v>2.0833333333333332E-2</v>
      </c>
    </row>
    <row r="33" spans="1:5">
      <c r="A33" s="58">
        <v>42316</v>
      </c>
      <c r="B33" t="s">
        <v>109</v>
      </c>
      <c r="C33" s="35">
        <f t="shared" ca="1" si="0"/>
        <v>12</v>
      </c>
      <c r="D33" s="34">
        <v>3.125E-2</v>
      </c>
      <c r="E33" s="43" t="s">
        <v>114</v>
      </c>
    </row>
    <row r="34" spans="1:5">
      <c r="A34" s="58">
        <v>42317</v>
      </c>
      <c r="B34" t="s">
        <v>14</v>
      </c>
      <c r="C34" s="35">
        <f t="shared" ca="1" si="0"/>
        <v>11</v>
      </c>
      <c r="D34" s="37">
        <v>4.1666666666666664E-2</v>
      </c>
    </row>
    <row r="35" spans="1:5">
      <c r="A35" s="58">
        <v>42317</v>
      </c>
      <c r="B35" t="s">
        <v>8</v>
      </c>
      <c r="C35" s="35">
        <f t="shared" ca="1" si="0"/>
        <v>11</v>
      </c>
      <c r="D35" s="34">
        <v>4.1666666666666664E-2</v>
      </c>
    </row>
    <row r="36" spans="1:5">
      <c r="A36" s="58">
        <v>42317</v>
      </c>
      <c r="B36" t="s">
        <v>86</v>
      </c>
      <c r="C36" s="35">
        <f t="shared" ca="1" si="0"/>
        <v>11</v>
      </c>
      <c r="D36" s="34">
        <v>2.0833333333333332E-2</v>
      </c>
    </row>
    <row r="37" spans="1:5">
      <c r="A37" s="58">
        <v>42317</v>
      </c>
      <c r="B37" t="s">
        <v>117</v>
      </c>
      <c r="C37" s="35">
        <f t="shared" ca="1" si="0"/>
        <v>11</v>
      </c>
      <c r="D37" s="34">
        <v>5.2083333333333336E-2</v>
      </c>
    </row>
    <row r="38" spans="1:5" ht="15.75" customHeight="1">
      <c r="A38" s="58">
        <v>42318</v>
      </c>
      <c r="B38" t="s">
        <v>8</v>
      </c>
      <c r="C38" s="35">
        <f t="shared" ca="1" si="0"/>
        <v>10</v>
      </c>
      <c r="D38" s="34">
        <v>2.0833333333333332E-2</v>
      </c>
      <c r="E38" s="46" t="s">
        <v>122</v>
      </c>
    </row>
    <row r="39" spans="1:5">
      <c r="A39" s="58">
        <v>42318</v>
      </c>
      <c r="B39" t="s">
        <v>86</v>
      </c>
      <c r="C39" s="35">
        <f t="shared" ca="1" si="0"/>
        <v>10</v>
      </c>
      <c r="D39" s="34">
        <v>2.0833333333333332E-2</v>
      </c>
    </row>
    <row r="40" spans="1:5">
      <c r="A40" s="58">
        <v>42319</v>
      </c>
      <c r="B40" t="s">
        <v>130</v>
      </c>
      <c r="C40" s="35">
        <f t="shared" ca="1" si="0"/>
        <v>9</v>
      </c>
      <c r="D40" s="34">
        <v>4.1666666666666664E-2</v>
      </c>
    </row>
    <row r="41" spans="1:5">
      <c r="A41" s="58">
        <v>42319</v>
      </c>
      <c r="B41" t="s">
        <v>117</v>
      </c>
      <c r="C41" s="35">
        <f t="shared" ca="1" si="0"/>
        <v>9</v>
      </c>
      <c r="D41" s="34">
        <v>3.125E-2</v>
      </c>
    </row>
    <row r="42" spans="1:5">
      <c r="A42" s="58">
        <v>42320</v>
      </c>
      <c r="B42" t="s">
        <v>117</v>
      </c>
      <c r="C42" s="35">
        <f t="shared" ca="1" si="0"/>
        <v>8</v>
      </c>
      <c r="D42" s="34">
        <v>4.1666666666666664E-2</v>
      </c>
    </row>
    <row r="43" spans="1:5">
      <c r="A43" s="58">
        <v>42320</v>
      </c>
      <c r="B43" t="s">
        <v>86</v>
      </c>
      <c r="C43" s="35">
        <f t="shared" ca="1" si="0"/>
        <v>8</v>
      </c>
      <c r="D43" s="34">
        <v>2.7777777777777776E-2</v>
      </c>
    </row>
    <row r="44" spans="1:5">
      <c r="A44" s="58">
        <v>42321</v>
      </c>
      <c r="B44" t="s">
        <v>117</v>
      </c>
      <c r="C44" s="35">
        <f t="shared" ca="1" si="0"/>
        <v>7</v>
      </c>
      <c r="D44" s="34">
        <v>4.8611111111111112E-2</v>
      </c>
    </row>
    <row r="45" spans="1:5">
      <c r="A45" s="58">
        <v>42321</v>
      </c>
      <c r="B45" t="s">
        <v>86</v>
      </c>
      <c r="C45" s="35">
        <f t="shared" ca="1" si="0"/>
        <v>7</v>
      </c>
      <c r="D45" s="34">
        <v>2.0833333333333332E-2</v>
      </c>
    </row>
    <row r="46" spans="1:5">
      <c r="A46" s="58">
        <v>42323</v>
      </c>
      <c r="B46" t="s">
        <v>153</v>
      </c>
      <c r="C46" s="35">
        <f t="shared" ca="1" si="0"/>
        <v>5</v>
      </c>
      <c r="D46" s="34">
        <v>8.3333333333333329E-2</v>
      </c>
    </row>
    <row r="47" spans="1:5">
      <c r="A47" s="58">
        <v>42324</v>
      </c>
      <c r="B47" t="s">
        <v>86</v>
      </c>
      <c r="C47" s="35">
        <f t="shared" ca="1" si="0"/>
        <v>4</v>
      </c>
      <c r="D47" s="34">
        <v>2.0833333333333332E-2</v>
      </c>
    </row>
    <row r="48" spans="1:5">
      <c r="A48" s="58">
        <v>42324</v>
      </c>
      <c r="B48" t="s">
        <v>130</v>
      </c>
      <c r="C48" s="35">
        <f t="shared" ca="1" si="0"/>
        <v>4</v>
      </c>
      <c r="D48" s="34">
        <v>4.1666666666666664E-2</v>
      </c>
    </row>
    <row r="49" spans="1:4">
      <c r="A49" s="58">
        <v>42324</v>
      </c>
      <c r="B49" t="s">
        <v>117</v>
      </c>
      <c r="C49" s="35">
        <f t="shared" ca="1" si="0"/>
        <v>4</v>
      </c>
      <c r="D49" s="34">
        <v>2.0833333333333332E-2</v>
      </c>
    </row>
    <row r="50" spans="1:4">
      <c r="A50" s="58">
        <v>42324</v>
      </c>
      <c r="B50" t="s">
        <v>153</v>
      </c>
      <c r="C50" s="35">
        <f t="shared" ca="1" si="0"/>
        <v>4</v>
      </c>
      <c r="D50" s="34">
        <v>4.1666666666666664E-2</v>
      </c>
    </row>
    <row r="51" spans="1:4">
      <c r="A51" s="58">
        <v>42324</v>
      </c>
      <c r="B51" t="s">
        <v>153</v>
      </c>
      <c r="C51" s="35">
        <f t="shared" ref="C51:C68" ca="1" si="1">TODAY()-A51</f>
        <v>4</v>
      </c>
      <c r="D51" s="34">
        <v>2.0833333333333332E-2</v>
      </c>
    </row>
    <row r="52" spans="1:4">
      <c r="A52" s="58">
        <v>42325</v>
      </c>
      <c r="B52" t="s">
        <v>117</v>
      </c>
      <c r="C52" s="35">
        <f t="shared" ca="1" si="1"/>
        <v>3</v>
      </c>
      <c r="D52" s="34">
        <v>3.125E-2</v>
      </c>
    </row>
    <row r="53" spans="1:4">
      <c r="A53" s="58">
        <v>42325</v>
      </c>
      <c r="B53" t="s">
        <v>86</v>
      </c>
      <c r="C53" s="35">
        <f t="shared" ca="1" si="1"/>
        <v>3</v>
      </c>
      <c r="D53" s="34">
        <v>2.0833333333333332E-2</v>
      </c>
    </row>
    <row r="54" spans="1:4">
      <c r="A54" s="58">
        <v>42325</v>
      </c>
      <c r="B54" t="s">
        <v>130</v>
      </c>
      <c r="C54" s="35">
        <f t="shared" ca="1" si="1"/>
        <v>3</v>
      </c>
      <c r="D54" s="34">
        <v>3.125E-2</v>
      </c>
    </row>
    <row r="55" spans="1:4">
      <c r="A55" s="58">
        <v>42325</v>
      </c>
      <c r="B55" t="s">
        <v>159</v>
      </c>
      <c r="C55" s="35">
        <f t="shared" ca="1" si="1"/>
        <v>3</v>
      </c>
      <c r="D55" s="34">
        <v>4.1666666666666664E-2</v>
      </c>
    </row>
    <row r="56" spans="1:4">
      <c r="A56" s="58">
        <v>42326</v>
      </c>
      <c r="B56" t="s">
        <v>117</v>
      </c>
      <c r="C56" s="35">
        <f t="shared" ca="1" si="1"/>
        <v>2</v>
      </c>
      <c r="D56" s="34">
        <v>3.125E-2</v>
      </c>
    </row>
    <row r="57" spans="1:4">
      <c r="A57" s="58">
        <v>42326</v>
      </c>
      <c r="B57" t="s">
        <v>86</v>
      </c>
      <c r="C57" s="35">
        <f t="shared" ca="1" si="1"/>
        <v>2</v>
      </c>
      <c r="D57" s="34">
        <v>2.0833333333333332E-2</v>
      </c>
    </row>
    <row r="58" spans="1:4">
      <c r="A58" s="58">
        <v>42326</v>
      </c>
      <c r="B58" t="s">
        <v>153</v>
      </c>
      <c r="C58" s="35">
        <f t="shared" ca="1" si="1"/>
        <v>2</v>
      </c>
      <c r="D58" s="34">
        <v>2.0833333333333332E-2</v>
      </c>
    </row>
    <row r="59" spans="1:4">
      <c r="A59" s="58">
        <v>42327</v>
      </c>
      <c r="B59" t="s">
        <v>153</v>
      </c>
      <c r="C59" s="35">
        <f t="shared" ca="1" si="1"/>
        <v>1</v>
      </c>
      <c r="D59" s="34">
        <v>5.2083333333333336E-2</v>
      </c>
    </row>
    <row r="60" spans="1:4">
      <c r="A60" s="58">
        <v>42327</v>
      </c>
      <c r="B60" t="s">
        <v>117</v>
      </c>
      <c r="C60" s="35">
        <f t="shared" ca="1" si="1"/>
        <v>1</v>
      </c>
      <c r="D60" s="34">
        <v>2.0833333333333332E-2</v>
      </c>
    </row>
    <row r="61" spans="1:4">
      <c r="A61" s="58">
        <v>42327</v>
      </c>
      <c r="B61" t="s">
        <v>109</v>
      </c>
      <c r="C61" s="35">
        <f t="shared" ca="1" si="1"/>
        <v>1</v>
      </c>
      <c r="D61" s="34">
        <v>3.125E-2</v>
      </c>
    </row>
    <row r="62" spans="1:4">
      <c r="A62" s="58">
        <v>42327</v>
      </c>
      <c r="B62" t="s">
        <v>86</v>
      </c>
      <c r="C62" s="35">
        <f t="shared" ca="1" si="1"/>
        <v>1</v>
      </c>
      <c r="D62" s="34">
        <v>3.125E-2</v>
      </c>
    </row>
    <row r="63" spans="1:4">
      <c r="A63" s="58">
        <v>42327</v>
      </c>
      <c r="B63" t="s">
        <v>130</v>
      </c>
      <c r="C63" s="35">
        <f t="shared" ca="1" si="1"/>
        <v>1</v>
      </c>
      <c r="D63" s="34">
        <v>4.1666666666666664E-2</v>
      </c>
    </row>
    <row r="64" spans="1:4">
      <c r="A64" s="58">
        <v>42327</v>
      </c>
      <c r="B64" t="s">
        <v>159</v>
      </c>
      <c r="C64" s="35">
        <f t="shared" ca="1" si="1"/>
        <v>1</v>
      </c>
      <c r="D64" s="34">
        <v>8.3333333333333329E-2</v>
      </c>
    </row>
    <row r="65" spans="1:29">
      <c r="A65" s="58">
        <v>42328</v>
      </c>
      <c r="B65" t="s">
        <v>117</v>
      </c>
      <c r="C65" s="35">
        <f t="shared" ca="1" si="1"/>
        <v>0</v>
      </c>
      <c r="D65" s="34">
        <v>3.4722222222222224E-2</v>
      </c>
    </row>
    <row r="66" spans="1:29">
      <c r="A66" s="58">
        <v>42328</v>
      </c>
      <c r="B66" t="s">
        <v>86</v>
      </c>
      <c r="C66" s="35">
        <f t="shared" ca="1" si="1"/>
        <v>0</v>
      </c>
      <c r="D66" s="34">
        <v>2.7777777777777776E-2</v>
      </c>
    </row>
    <row r="67" spans="1:29">
      <c r="A67" s="58">
        <v>42328</v>
      </c>
      <c r="B67" t="s">
        <v>14</v>
      </c>
      <c r="C67" s="35">
        <f t="shared" ca="1" si="1"/>
        <v>0</v>
      </c>
      <c r="D67" s="34">
        <v>2.7777777777777776E-2</v>
      </c>
    </row>
    <row r="68" spans="1:29">
      <c r="A68" s="58">
        <v>42328</v>
      </c>
      <c r="B68" t="s">
        <v>130</v>
      </c>
      <c r="C68" s="35">
        <f t="shared" ca="1" si="1"/>
        <v>0</v>
      </c>
      <c r="D68" s="34">
        <v>4.1666666666666664E-2</v>
      </c>
    </row>
    <row r="75" spans="1:29">
      <c r="G75" s="54" t="s">
        <v>119</v>
      </c>
      <c r="H75" s="35" t="s">
        <v>120</v>
      </c>
      <c r="I75" s="35"/>
    </row>
    <row r="76" spans="1:29">
      <c r="G76" s="34">
        <f ca="1">SUMIF(C:C,0,D:D)</f>
        <v>0.13194444444444445</v>
      </c>
      <c r="H76" s="38" t="str">
        <f ca="1">INDEX(学习总体!C:C,RANDBETWEEN(2,COUNTIF(学习总体!D:D,学习总体!D5)+1))</f>
        <v>Python 3.0教程-廖雪峰</v>
      </c>
      <c r="I76" s="35"/>
    </row>
    <row r="78" spans="1:29" s="51" customFormat="1">
      <c r="A78" s="57"/>
      <c r="B78" s="48" t="s">
        <v>156</v>
      </c>
      <c r="C78" s="55" t="s">
        <v>147</v>
      </c>
      <c r="D78" s="49"/>
      <c r="E78" s="49"/>
      <c r="F78" s="49"/>
      <c r="G78" s="49"/>
      <c r="H78" s="49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s="52" customFormat="1">
      <c r="A79" s="58"/>
      <c r="B79" s="53" t="s">
        <v>145</v>
      </c>
      <c r="C79" s="58">
        <v>42328</v>
      </c>
      <c r="D79" s="58">
        <v>42327</v>
      </c>
      <c r="E79" s="58">
        <v>42326</v>
      </c>
      <c r="F79" s="58">
        <v>42325</v>
      </c>
      <c r="G79" s="58">
        <v>42324</v>
      </c>
      <c r="H79" s="58">
        <v>42323</v>
      </c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>
      <c r="B80" s="56" t="s">
        <v>130</v>
      </c>
      <c r="C80" s="34">
        <v>4.1666666666666664E-2</v>
      </c>
      <c r="D80" s="34">
        <v>4.1666666666666664E-2</v>
      </c>
      <c r="E80" s="34"/>
      <c r="F80" s="34">
        <v>3.125E-2</v>
      </c>
      <c r="G80" s="34">
        <v>4.1666666666666664E-2</v>
      </c>
      <c r="H80" s="34"/>
      <c r="I80"/>
      <c r="J80"/>
    </row>
    <row r="81" spans="2:10">
      <c r="B81" s="49" t="s">
        <v>14</v>
      </c>
      <c r="C81" s="34">
        <v>2.7777777777777776E-2</v>
      </c>
      <c r="E81" s="34"/>
      <c r="F81" s="34"/>
      <c r="G81" s="34"/>
      <c r="H81" s="34"/>
      <c r="I81"/>
      <c r="J81"/>
    </row>
    <row r="82" spans="2:10">
      <c r="B82" s="56" t="s">
        <v>153</v>
      </c>
      <c r="C82" s="34"/>
      <c r="D82" s="34">
        <v>5.2083333333333336E-2</v>
      </c>
      <c r="E82" s="34">
        <v>2.0833333333333332E-2</v>
      </c>
      <c r="F82" s="34"/>
      <c r="G82" s="34">
        <v>6.25E-2</v>
      </c>
      <c r="H82" s="34">
        <v>8.3333333333333329E-2</v>
      </c>
      <c r="I82"/>
      <c r="J82"/>
    </row>
    <row r="83" spans="2:10">
      <c r="B83" s="56" t="s">
        <v>117</v>
      </c>
      <c r="C83" s="34">
        <v>3.4722222222222224E-2</v>
      </c>
      <c r="D83" s="34">
        <v>2.0833333333333332E-2</v>
      </c>
      <c r="E83" s="34">
        <v>3.125E-2</v>
      </c>
      <c r="F83" s="34">
        <v>3.125E-2</v>
      </c>
      <c r="G83" s="34">
        <v>2.0833333333333332E-2</v>
      </c>
      <c r="H83" s="34"/>
      <c r="I83"/>
      <c r="J83"/>
    </row>
    <row r="84" spans="2:10">
      <c r="B84" s="49" t="s">
        <v>109</v>
      </c>
      <c r="C84" s="34"/>
      <c r="D84" s="34">
        <v>3.125E-2</v>
      </c>
      <c r="E84" s="34"/>
      <c r="F84" s="34"/>
      <c r="G84" s="34"/>
      <c r="H84" s="34"/>
      <c r="I84"/>
      <c r="J84"/>
    </row>
    <row r="85" spans="2:10">
      <c r="B85" s="56" t="s">
        <v>86</v>
      </c>
      <c r="C85" s="34">
        <v>2.7777777777777776E-2</v>
      </c>
      <c r="D85" s="34">
        <v>3.125E-2</v>
      </c>
      <c r="E85" s="34">
        <v>2.0833333333333332E-2</v>
      </c>
      <c r="F85" s="34">
        <v>2.0833333333333332E-2</v>
      </c>
      <c r="G85" s="34">
        <v>2.0833333333333332E-2</v>
      </c>
      <c r="H85" s="34"/>
      <c r="I85"/>
      <c r="J85"/>
    </row>
    <row r="86" spans="2:10">
      <c r="B86" s="56" t="s">
        <v>159</v>
      </c>
      <c r="C86" s="34"/>
      <c r="D86" s="34">
        <v>8.3333333333333329E-2</v>
      </c>
      <c r="E86" s="34"/>
      <c r="F86" s="34">
        <v>4.1666666666666664E-2</v>
      </c>
      <c r="G86" s="34"/>
      <c r="H86" s="34"/>
      <c r="I86"/>
      <c r="J86"/>
    </row>
    <row r="87" spans="2:10">
      <c r="B87" s="50" t="s">
        <v>146</v>
      </c>
      <c r="C87" s="34">
        <v>0.13194444444444445</v>
      </c>
      <c r="D87" s="34">
        <v>0.26041666666666663</v>
      </c>
      <c r="E87" s="34">
        <v>7.2916666666666657E-2</v>
      </c>
      <c r="F87" s="34">
        <v>0.125</v>
      </c>
      <c r="G87" s="34">
        <v>0.14583333333333331</v>
      </c>
      <c r="H87" s="34">
        <v>8.3333333333333329E-2</v>
      </c>
      <c r="I87"/>
      <c r="J87"/>
    </row>
    <row r="88" spans="2:10">
      <c r="C88"/>
      <c r="D88"/>
      <c r="E88"/>
      <c r="F88"/>
      <c r="G88"/>
      <c r="H88"/>
      <c r="I88"/>
      <c r="J88"/>
    </row>
    <row r="89" spans="2:10">
      <c r="C89"/>
      <c r="D89"/>
      <c r="E89"/>
      <c r="F89"/>
      <c r="G89"/>
      <c r="H89"/>
      <c r="I89"/>
      <c r="J89"/>
    </row>
    <row r="90" spans="2:10">
      <c r="C90"/>
      <c r="D90"/>
      <c r="E90"/>
      <c r="F90"/>
      <c r="G90"/>
      <c r="H90"/>
      <c r="I90"/>
      <c r="J90"/>
    </row>
    <row r="91" spans="2:10">
      <c r="C91"/>
      <c r="D91"/>
      <c r="E91"/>
      <c r="F91"/>
      <c r="G91"/>
      <c r="H91"/>
      <c r="I91"/>
      <c r="J91"/>
    </row>
    <row r="92" spans="2:10">
      <c r="C92"/>
      <c r="D92"/>
      <c r="E92"/>
      <c r="F92"/>
      <c r="G92"/>
      <c r="H92"/>
      <c r="I92"/>
      <c r="J92"/>
    </row>
    <row r="93" spans="2:10">
      <c r="C93"/>
      <c r="D93"/>
      <c r="E93"/>
      <c r="F93"/>
      <c r="G93"/>
      <c r="H93"/>
      <c r="I93"/>
      <c r="J93"/>
    </row>
    <row r="94" spans="2:10">
      <c r="C94"/>
      <c r="D94"/>
      <c r="E94"/>
      <c r="F94"/>
      <c r="G94"/>
      <c r="H94"/>
      <c r="I94"/>
      <c r="J94"/>
    </row>
    <row r="95" spans="2:10">
      <c r="C95"/>
      <c r="D95"/>
      <c r="E95"/>
      <c r="F95"/>
      <c r="G95"/>
      <c r="H95"/>
      <c r="I95"/>
      <c r="J95"/>
    </row>
    <row r="96" spans="2:10">
      <c r="C96"/>
      <c r="I96"/>
      <c r="J96"/>
    </row>
    <row r="97" spans="3:10">
      <c r="C97"/>
      <c r="I97"/>
      <c r="J97"/>
    </row>
    <row r="98" spans="3:10">
      <c r="C98"/>
      <c r="I98"/>
      <c r="J98"/>
    </row>
    <row r="99" spans="3:10">
      <c r="C99"/>
      <c r="I99"/>
      <c r="J99"/>
    </row>
    <row r="100" spans="3:10">
      <c r="C100"/>
      <c r="I100"/>
      <c r="J100"/>
    </row>
    <row r="101" spans="3:10">
      <c r="C101"/>
      <c r="I101"/>
      <c r="J101"/>
    </row>
    <row r="102" spans="3:10">
      <c r="C102"/>
      <c r="I102"/>
      <c r="J102"/>
    </row>
    <row r="103" spans="3:10">
      <c r="C103"/>
      <c r="I103"/>
      <c r="J103"/>
    </row>
    <row r="104" spans="3:10">
      <c r="C104"/>
    </row>
    <row r="105" spans="3:10">
      <c r="C105"/>
    </row>
    <row r="106" spans="3:10">
      <c r="C106"/>
    </row>
    <row r="107" spans="3:10">
      <c r="C107"/>
    </row>
    <row r="108" spans="3:10">
      <c r="C108"/>
    </row>
    <row r="109" spans="3:10">
      <c r="C109"/>
    </row>
    <row r="110" spans="3:10">
      <c r="C110"/>
    </row>
    <row r="111" spans="3:10">
      <c r="C111"/>
    </row>
    <row r="112" spans="3:10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</sheetData>
  <phoneticPr fontId="4" type="noConversion"/>
  <conditionalFormatting sqref="A1:G74 A78:A84 G78:G79 A77:G77 A75:F76 A85:B157 D96:G157 A158:G1048576">
    <cfRule type="expression" dxfId="1" priority="1">
      <formula>$A1=TODAY()-1</formula>
    </cfRule>
    <cfRule type="expression" dxfId="0" priority="2">
      <formula>$A1=TODAY()</formula>
    </cfRule>
  </conditionalFormatting>
  <pageMargins left="0.75" right="0.75" top="1" bottom="1" header="0.51180555555555596" footer="0.51180555555555596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B1:B77 B158:B1048576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topLeftCell="A5" workbookViewId="0">
      <selection activeCell="C19" sqref="C19:C21"/>
    </sheetView>
  </sheetViews>
  <sheetFormatPr defaultRowHeight="13.5"/>
  <cols>
    <col min="1" max="1" width="18.375" style="41" bestFit="1" customWidth="1"/>
    <col min="3" max="3" width="9" style="45"/>
    <col min="4" max="4" width="9" style="42"/>
    <col min="6" max="6" width="16.5" customWidth="1"/>
    <col min="7" max="7" width="9.125" style="42" customWidth="1"/>
    <col min="8" max="8" width="5.25" customWidth="1"/>
    <col min="9" max="10" width="9" customWidth="1"/>
    <col min="11" max="11" width="5.25" customWidth="1"/>
    <col min="12" max="12" width="5.75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152</v>
      </c>
      <c r="D1" s="43" t="s">
        <v>137</v>
      </c>
    </row>
    <row r="2" spans="1:15">
      <c r="A2" s="41">
        <v>42323.902083333334</v>
      </c>
      <c r="B2" t="s">
        <v>140</v>
      </c>
      <c r="C2" s="45">
        <f ca="1">ROUNDUP(TODAY()-A2,0)</f>
        <v>5</v>
      </c>
      <c r="D2" s="42">
        <v>30</v>
      </c>
    </row>
    <row r="3" spans="1:15">
      <c r="A3" s="41">
        <v>42323.90347222222</v>
      </c>
      <c r="B3" t="s">
        <v>141</v>
      </c>
      <c r="C3" s="45">
        <f t="shared" ref="C3:C21" ca="1" si="0">ROUNDUP(TODAY()-A3,0)</f>
        <v>5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5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5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5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5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5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5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3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3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3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3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3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3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161</v>
      </c>
      <c r="C16" s="45">
        <f t="shared" ca="1" si="0"/>
        <v>2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161</v>
      </c>
      <c r="C17" s="45">
        <f t="shared" ca="1" si="0"/>
        <v>1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1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-1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-1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-1</v>
      </c>
      <c r="D21" s="42">
        <v>16</v>
      </c>
    </row>
    <row r="25" spans="1:15">
      <c r="G25"/>
    </row>
    <row r="26" spans="1:15">
      <c r="F26" s="44" t="s">
        <v>148</v>
      </c>
      <c r="G26" s="44" t="s">
        <v>147</v>
      </c>
      <c r="H26" s="42"/>
      <c r="I26" s="42"/>
      <c r="J26" s="42"/>
      <c r="K26" s="42"/>
      <c r="L26" s="42"/>
    </row>
    <row r="27" spans="1:15">
      <c r="F27" s="44" t="s">
        <v>145</v>
      </c>
      <c r="G27" s="42" t="s">
        <v>139</v>
      </c>
      <c r="H27" s="42" t="s">
        <v>140</v>
      </c>
      <c r="I27" s="42" t="s">
        <v>141</v>
      </c>
      <c r="J27" s="42" t="s">
        <v>138</v>
      </c>
      <c r="K27" s="42" t="s">
        <v>161</v>
      </c>
      <c r="L27" s="42" t="s">
        <v>146</v>
      </c>
    </row>
    <row r="28" spans="1:15">
      <c r="F28" s="38" t="s">
        <v>149</v>
      </c>
      <c r="G28" s="42">
        <v>25</v>
      </c>
      <c r="H28" s="42">
        <v>60</v>
      </c>
      <c r="I28" s="42">
        <v>95</v>
      </c>
      <c r="J28" s="42">
        <v>33</v>
      </c>
      <c r="K28" s="42"/>
      <c r="L28" s="42">
        <v>213</v>
      </c>
    </row>
    <row r="29" spans="1:15">
      <c r="F29" s="38" t="s">
        <v>157</v>
      </c>
      <c r="G29" s="42">
        <v>50</v>
      </c>
      <c r="H29" s="42">
        <v>35</v>
      </c>
      <c r="I29" s="42">
        <v>35</v>
      </c>
      <c r="J29" s="42">
        <v>20</v>
      </c>
      <c r="K29" s="42"/>
      <c r="L29" s="42">
        <v>140</v>
      </c>
    </row>
    <row r="30" spans="1:15">
      <c r="F30" s="38" t="s">
        <v>162</v>
      </c>
      <c r="H30" s="42"/>
      <c r="I30" s="42"/>
      <c r="J30" s="42"/>
      <c r="K30" s="42">
        <v>1</v>
      </c>
      <c r="L30" s="42">
        <v>1</v>
      </c>
    </row>
    <row r="31" spans="1:15">
      <c r="F31" s="38" t="s">
        <v>163</v>
      </c>
      <c r="G31" s="42">
        <v>15</v>
      </c>
      <c r="H31" s="42"/>
      <c r="I31" s="42"/>
      <c r="J31" s="42"/>
      <c r="K31" s="42">
        <v>1</v>
      </c>
      <c r="L31" s="42">
        <v>16</v>
      </c>
    </row>
    <row r="32" spans="1:15">
      <c r="F32" s="38" t="s">
        <v>146</v>
      </c>
      <c r="G32" s="42">
        <v>90</v>
      </c>
      <c r="H32" s="42">
        <v>95</v>
      </c>
      <c r="I32" s="42">
        <v>130</v>
      </c>
      <c r="J32" s="42">
        <v>53</v>
      </c>
      <c r="K32" s="42">
        <v>2</v>
      </c>
      <c r="L32" s="42">
        <v>370</v>
      </c>
    </row>
    <row r="33" spans="7:7">
      <c r="G33"/>
    </row>
    <row r="34" spans="7:7">
      <c r="G34"/>
    </row>
    <row r="35" spans="7:7">
      <c r="G35"/>
    </row>
  </sheetData>
  <phoneticPr fontId="10" type="noConversion"/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2015-11-20T08:26:14Z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