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1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F25" i="3" l="1"/>
  <c r="F24" i="3"/>
  <c r="F23" i="3" l="1"/>
  <c r="E11" i="2" l="1"/>
  <c r="E10" i="2"/>
  <c r="E12" i="2" l="1"/>
  <c r="F22" i="3"/>
  <c r="C22" i="3"/>
  <c r="F21" i="3" l="1"/>
  <c r="F20" i="3" l="1"/>
  <c r="F19" i="3" l="1"/>
  <c r="F18" i="3" l="1"/>
  <c r="F17" i="3" l="1"/>
  <c r="F16" i="3" l="1"/>
  <c r="E13" i="2" l="1"/>
  <c r="F15" i="3"/>
  <c r="E5" i="2"/>
  <c r="G5" i="2" s="1"/>
  <c r="C14" i="3" l="1"/>
  <c r="F14" i="3"/>
  <c r="F13" i="3" l="1"/>
  <c r="J3" i="1" l="1"/>
  <c r="K3" i="1"/>
  <c r="I3" i="1"/>
  <c r="G3" i="1"/>
  <c r="H3" i="1"/>
  <c r="E7" i="2" l="1"/>
  <c r="F12" i="3" l="1"/>
  <c r="F11" i="3" l="1"/>
  <c r="F10" i="3"/>
  <c r="F9" i="3" l="1"/>
  <c r="F8" i="3" l="1"/>
  <c r="F7" i="3" l="1"/>
  <c r="F6" i="3"/>
  <c r="F5" i="3"/>
  <c r="C5" i="3"/>
  <c r="E28" i="2" s="1"/>
  <c r="F4" i="3"/>
  <c r="C4" i="3"/>
  <c r="F3" i="3"/>
  <c r="F2" i="3"/>
  <c r="E27" i="2"/>
  <c r="E26" i="2"/>
  <c r="E21" i="2"/>
  <c r="E20" i="2"/>
  <c r="E6" i="2"/>
  <c r="G6" i="2" s="1"/>
  <c r="E18" i="2"/>
  <c r="E25" i="2"/>
  <c r="E8" i="2"/>
  <c r="E17" i="2"/>
  <c r="E24" i="2"/>
  <c r="E23" i="2"/>
  <c r="E22" i="2"/>
  <c r="E19" i="2"/>
  <c r="E16" i="2"/>
  <c r="E15" i="2"/>
  <c r="E14" i="2"/>
  <c r="E3" i="2"/>
  <c r="G3" i="2" s="1"/>
  <c r="E9" i="2"/>
  <c r="E4" i="2"/>
  <c r="G4" i="2" s="1"/>
  <c r="E2" i="2"/>
  <c r="G2" i="2" s="1"/>
</calcChain>
</file>

<file path=xl/comments1.xml><?xml version="1.0" encoding="utf-8"?>
<comments xmlns="http://schemas.openxmlformats.org/spreadsheetml/2006/main">
  <authors>
    <author>ZYF</author>
  </authors>
  <commentLis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<sst xmlns="http://schemas.openxmlformats.org/spreadsheetml/2006/main" count="162" uniqueCount="114">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</sst>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9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</cellXfs>
  <cellStyles count="3">
    <cellStyle name="百分比" xfId="2" builtinId="5"/>
    <cellStyle name="常规" xfId="0" builtinId="0"/>
    <cellStyle name="超链接" xfId="1" builtinId="8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topLeftCell="A16" workbookViewId="0">
      <selection activeCell="J22" sqref="J22"/>
    </sheetView>
  </sheetViews>
  <sheetFormatPr defaultColWidth="19.5" defaultRowHeight="16.5" x14ac:dyDescent="0.2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 x14ac:dyDescent="0.2">
      <c r="A1" s="16"/>
      <c r="B1" s="17"/>
      <c r="C1" s="18"/>
      <c r="D1" s="19"/>
      <c r="E1" s="12"/>
      <c r="F1" s="11"/>
      <c r="G1" s="11" t="s">
        <v>39</v>
      </c>
      <c r="H1" s="12" t="s">
        <v>40</v>
      </c>
    </row>
    <row r="2" spans="1:11" s="13" customFormat="1" x14ac:dyDescent="0.2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 x14ac:dyDescent="0.2">
      <c r="A3" s="16"/>
      <c r="B3" s="17"/>
      <c r="C3" s="18"/>
      <c r="D3" s="19"/>
      <c r="E3" s="12"/>
      <c r="F3" s="11"/>
      <c r="G3" s="14">
        <f ca="1">G2-TODAY()</f>
        <v>51</v>
      </c>
      <c r="H3" s="15">
        <f ca="1">H2-TODAY()</f>
        <v>95</v>
      </c>
      <c r="I3" s="15">
        <f ca="1">I2-TODAY()</f>
        <v>155</v>
      </c>
      <c r="J3" s="15">
        <f ca="1">J2-TODAY()</f>
        <v>233</v>
      </c>
      <c r="K3" s="15">
        <f ca="1">K2-TODAY()</f>
        <v>415</v>
      </c>
    </row>
    <row r="4" spans="1:11" x14ac:dyDescent="0.2">
      <c r="A4" s="16"/>
      <c r="B4" s="17"/>
      <c r="C4" s="18"/>
      <c r="D4" s="19"/>
      <c r="E4" s="12"/>
      <c r="F4" s="12"/>
      <c r="G4" s="12"/>
    </row>
    <row r="5" spans="1:11" ht="66" x14ac:dyDescent="0.2">
      <c r="A5" s="16" t="s">
        <v>41</v>
      </c>
      <c r="B5" s="17" t="s">
        <v>55</v>
      </c>
      <c r="C5" s="24" t="s">
        <v>24</v>
      </c>
      <c r="D5" s="25" t="s">
        <v>14</v>
      </c>
      <c r="E5" s="12"/>
      <c r="F5" s="12"/>
      <c r="G5" s="12"/>
    </row>
    <row r="6" spans="1:11" x14ac:dyDescent="0.2">
      <c r="A6" s="16" t="s">
        <v>41</v>
      </c>
      <c r="B6" s="17" t="s">
        <v>65</v>
      </c>
      <c r="C6" s="18"/>
      <c r="D6" s="19"/>
      <c r="E6" s="12"/>
      <c r="F6" s="12"/>
      <c r="G6" s="12"/>
    </row>
    <row r="7" spans="1:11" x14ac:dyDescent="0.2">
      <c r="A7" s="16" t="s">
        <v>41</v>
      </c>
      <c r="B7" s="17" t="s">
        <v>66</v>
      </c>
      <c r="C7" s="18"/>
      <c r="D7" s="19"/>
      <c r="E7" s="12"/>
      <c r="F7" s="12"/>
      <c r="G7" s="12"/>
    </row>
    <row r="8" spans="1:11" x14ac:dyDescent="0.2">
      <c r="A8" s="16" t="s">
        <v>63</v>
      </c>
      <c r="B8" s="17" t="s">
        <v>56</v>
      </c>
      <c r="C8" s="18" t="s">
        <v>43</v>
      </c>
      <c r="D8" s="19"/>
      <c r="E8" s="12"/>
      <c r="F8" s="12"/>
      <c r="G8" s="12"/>
    </row>
    <row r="9" spans="1:11" x14ac:dyDescent="0.2">
      <c r="A9" s="16" t="s">
        <v>63</v>
      </c>
      <c r="B9" s="17" t="s">
        <v>57</v>
      </c>
      <c r="C9" s="18"/>
      <c r="D9" s="19"/>
      <c r="E9" s="12"/>
      <c r="F9" s="12"/>
      <c r="G9" s="12"/>
    </row>
    <row r="10" spans="1:11" x14ac:dyDescent="0.2">
      <c r="A10" s="16" t="s">
        <v>63</v>
      </c>
      <c r="B10" s="17" t="s">
        <v>58</v>
      </c>
      <c r="C10" s="17"/>
      <c r="D10" s="19"/>
      <c r="E10" s="12"/>
      <c r="F10" s="12"/>
      <c r="G10" s="12"/>
    </row>
    <row r="11" spans="1:11" ht="21" customHeight="1" x14ac:dyDescent="0.2">
      <c r="A11" s="16" t="s">
        <v>63</v>
      </c>
      <c r="B11" s="17" t="s">
        <v>60</v>
      </c>
      <c r="C11" s="24" t="s">
        <v>85</v>
      </c>
      <c r="D11" s="19"/>
      <c r="E11" s="12"/>
      <c r="F11" s="12"/>
      <c r="G11" s="12"/>
    </row>
    <row r="12" spans="1:11" ht="18.75" customHeight="1" x14ac:dyDescent="0.2">
      <c r="A12" s="16" t="s">
        <v>63</v>
      </c>
      <c r="B12" s="17" t="s">
        <v>61</v>
      </c>
      <c r="C12" s="24" t="s">
        <v>86</v>
      </c>
      <c r="D12" s="19"/>
      <c r="E12" s="12"/>
      <c r="F12" s="12"/>
      <c r="G12" s="12"/>
    </row>
    <row r="13" spans="1:11" ht="49.5" x14ac:dyDescent="0.2">
      <c r="A13" s="16" t="s">
        <v>63</v>
      </c>
      <c r="B13" s="17" t="s">
        <v>59</v>
      </c>
      <c r="C13" s="24" t="s">
        <v>87</v>
      </c>
      <c r="D13" s="19"/>
      <c r="E13" s="12"/>
      <c r="F13" s="12"/>
      <c r="G13" s="12"/>
    </row>
    <row r="14" spans="1:11" ht="33" x14ac:dyDescent="0.2">
      <c r="A14" s="16" t="s">
        <v>63</v>
      </c>
      <c r="B14" s="17" t="s">
        <v>62</v>
      </c>
      <c r="C14" s="24" t="s">
        <v>88</v>
      </c>
      <c r="D14" s="19"/>
      <c r="E14" s="12"/>
      <c r="F14" s="12"/>
      <c r="G14" s="12"/>
    </row>
    <row r="15" spans="1:11" x14ac:dyDescent="0.2">
      <c r="A15" s="16" t="s">
        <v>64</v>
      </c>
      <c r="B15" s="17" t="s">
        <v>67</v>
      </c>
      <c r="C15" s="18"/>
      <c r="D15" s="19"/>
      <c r="E15" s="12"/>
      <c r="F15" s="12"/>
      <c r="G15" s="12"/>
    </row>
    <row r="16" spans="1:11" x14ac:dyDescent="0.2">
      <c r="A16" s="16" t="s">
        <v>64</v>
      </c>
      <c r="B16" s="17" t="s">
        <v>68</v>
      </c>
      <c r="C16" s="18"/>
      <c r="D16" s="19"/>
      <c r="E16" s="12"/>
      <c r="F16" s="12"/>
      <c r="G16" s="12"/>
    </row>
    <row r="17" spans="1:7" x14ac:dyDescent="0.2">
      <c r="A17" s="16" t="s">
        <v>64</v>
      </c>
      <c r="B17" s="17" t="s">
        <v>69</v>
      </c>
      <c r="C17" s="18"/>
      <c r="D17" s="19"/>
      <c r="E17" s="12"/>
      <c r="F17" s="12"/>
      <c r="G17" s="12"/>
    </row>
    <row r="18" spans="1:7" x14ac:dyDescent="0.2">
      <c r="A18" s="16" t="s">
        <v>64</v>
      </c>
      <c r="B18" s="17" t="s">
        <v>70</v>
      </c>
      <c r="C18" s="18"/>
      <c r="D18" s="19"/>
      <c r="E18" s="12"/>
      <c r="F18" s="12"/>
      <c r="G18" s="12"/>
    </row>
    <row r="19" spans="1:7" x14ac:dyDescent="0.2">
      <c r="A19" s="16" t="s">
        <v>64</v>
      </c>
      <c r="B19" s="17" t="s">
        <v>71</v>
      </c>
      <c r="C19" s="18"/>
      <c r="D19" s="19"/>
      <c r="E19" s="12"/>
      <c r="F19" s="12"/>
      <c r="G19" s="12"/>
    </row>
    <row r="20" spans="1:7" x14ac:dyDescent="0.2">
      <c r="A20" s="28"/>
      <c r="B20" s="29"/>
      <c r="C20" s="30"/>
      <c r="D20" s="31"/>
      <c r="E20" s="12"/>
      <c r="F20" s="12"/>
      <c r="G20" s="12"/>
    </row>
    <row r="22" spans="1:7" x14ac:dyDescent="0.2">
      <c r="A22" s="32" t="s">
        <v>95</v>
      </c>
    </row>
    <row r="23" spans="1:7" x14ac:dyDescent="0.2">
      <c r="A23" s="32" t="s">
        <v>96</v>
      </c>
      <c r="B23" s="33" t="s">
        <v>97</v>
      </c>
      <c r="C23" s="34" t="s">
        <v>100</v>
      </c>
      <c r="D23" s="33" t="s">
        <v>101</v>
      </c>
      <c r="E23" s="33" t="s">
        <v>102</v>
      </c>
    </row>
    <row r="24" spans="1:7" x14ac:dyDescent="0.2">
      <c r="B24" s="33" t="s">
        <v>98</v>
      </c>
    </row>
    <row r="25" spans="1:7" x14ac:dyDescent="0.2">
      <c r="B25" s="33" t="s">
        <v>99</v>
      </c>
    </row>
    <row r="26" spans="1:7" x14ac:dyDescent="0.2">
      <c r="B26" s="33" t="s">
        <v>103</v>
      </c>
    </row>
  </sheetData>
  <phoneticPr fontId="4" type="noConversion"/>
  <conditionalFormatting sqref="A1:D1048576">
    <cfRule type="expression" dxfId="8" priority="1">
      <formula>$A1="graduate"</formula>
    </cfRule>
    <cfRule type="expression" dxfId="7" priority="2">
      <formula>$A1="CS"</formula>
    </cfRule>
    <cfRule type="expression" dxfId="6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8"/>
  <sheetViews>
    <sheetView tabSelected="1" workbookViewId="0">
      <selection activeCell="D13" sqref="D13"/>
    </sheetView>
  </sheetViews>
  <sheetFormatPr defaultColWidth="9" defaultRowHeight="16.5" x14ac:dyDescent="0.2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6"/>
    <col min="7" max="7" width="11.25" style="35" bestFit="1" customWidth="1"/>
    <col min="8" max="16384" width="9" style="5"/>
  </cols>
  <sheetData>
    <row r="1" spans="1:7" x14ac:dyDescent="0.2">
      <c r="A1" s="8" t="s">
        <v>4</v>
      </c>
      <c r="B1" s="5" t="s">
        <v>44</v>
      </c>
      <c r="C1" s="9" t="s">
        <v>5</v>
      </c>
      <c r="D1" s="10" t="s">
        <v>6</v>
      </c>
      <c r="E1" s="7" t="s">
        <v>35</v>
      </c>
      <c r="F1" s="36" t="s">
        <v>104</v>
      </c>
      <c r="G1" s="35" t="s">
        <v>105</v>
      </c>
    </row>
    <row r="2" spans="1:7" x14ac:dyDescent="0.2">
      <c r="A2" s="4" t="s">
        <v>7</v>
      </c>
      <c r="B2" s="5" t="s">
        <v>45</v>
      </c>
      <c r="C2" s="5" t="s">
        <v>42</v>
      </c>
      <c r="D2" s="6">
        <v>0</v>
      </c>
      <c r="E2" s="7">
        <f>SUMIF(Sheet3!B:B,C2,Sheet3!C:C)</f>
        <v>0.39236111111111122</v>
      </c>
      <c r="F2" s="36">
        <v>0.625</v>
      </c>
      <c r="G2" s="35">
        <f>E2/F2</f>
        <v>0.62777777777777799</v>
      </c>
    </row>
    <row r="3" spans="1:7" x14ac:dyDescent="0.2">
      <c r="A3" s="4" t="s">
        <v>106</v>
      </c>
      <c r="B3" s="5" t="s">
        <v>79</v>
      </c>
      <c r="C3" s="5" t="s">
        <v>12</v>
      </c>
      <c r="D3" s="6">
        <v>0</v>
      </c>
      <c r="E3" s="7">
        <f>SUMIF(Sheet3!B:B,C3,Sheet3!C:C)</f>
        <v>0.14583333333333331</v>
      </c>
      <c r="F3" s="36">
        <v>1</v>
      </c>
      <c r="G3" s="35">
        <f t="shared" ref="G3:G6" si="0">E3/F3</f>
        <v>0.14583333333333331</v>
      </c>
    </row>
    <row r="4" spans="1:7" x14ac:dyDescent="0.2">
      <c r="A4" s="8" t="s">
        <v>9</v>
      </c>
      <c r="B4" s="5" t="s">
        <v>46</v>
      </c>
      <c r="C4" s="8" t="s">
        <v>10</v>
      </c>
      <c r="D4" s="6">
        <v>0</v>
      </c>
      <c r="E4" s="7">
        <f>SUMIF(Sheet3!B:B,C4,Sheet3!C:C)</f>
        <v>0.100694444444444</v>
      </c>
      <c r="G4" s="35" t="e">
        <f t="shared" si="0"/>
        <v>#DIV/0!</v>
      </c>
    </row>
    <row r="5" spans="1:7" x14ac:dyDescent="0.2">
      <c r="A5" s="4" t="s">
        <v>89</v>
      </c>
      <c r="B5" s="5" t="s">
        <v>92</v>
      </c>
      <c r="C5" s="5" t="s">
        <v>91</v>
      </c>
      <c r="D5" s="6">
        <v>0</v>
      </c>
      <c r="E5" s="7">
        <f>SUMIF(Sheet3!B:B,C5,Sheet3!C:C)</f>
        <v>7.2916666666666657E-2</v>
      </c>
      <c r="G5" s="35" t="e">
        <f t="shared" si="0"/>
        <v>#DIV/0!</v>
      </c>
    </row>
    <row r="6" spans="1:7" x14ac:dyDescent="0.2">
      <c r="A6" s="4" t="s">
        <v>106</v>
      </c>
      <c r="B6" s="5" t="s">
        <v>80</v>
      </c>
      <c r="C6" s="5" t="s">
        <v>34</v>
      </c>
      <c r="D6" s="6">
        <v>0</v>
      </c>
      <c r="E6" s="7">
        <f>SUMIF(Sheet3!B:B,C6,Sheet3!C:C)</f>
        <v>0.1076388888888889</v>
      </c>
      <c r="F6" s="36">
        <v>1.25</v>
      </c>
      <c r="G6" s="35">
        <f t="shared" si="0"/>
        <v>8.611111111111111E-2</v>
      </c>
    </row>
    <row r="7" spans="1:7" x14ac:dyDescent="0.2">
      <c r="A7" s="4" t="s">
        <v>37</v>
      </c>
      <c r="B7" s="5" t="s">
        <v>48</v>
      </c>
      <c r="C7" s="5" t="s">
        <v>38</v>
      </c>
      <c r="D7" s="6">
        <v>0</v>
      </c>
      <c r="E7" s="7">
        <f>SUMIF(Sheet3!B:B,C7,Sheet3!C:C)</f>
        <v>3.6805555555555536E-2</v>
      </c>
    </row>
    <row r="8" spans="1:7" x14ac:dyDescent="0.2">
      <c r="A8" s="4" t="s">
        <v>9</v>
      </c>
      <c r="B8" s="5" t="s">
        <v>47</v>
      </c>
      <c r="C8" s="4" t="s">
        <v>24</v>
      </c>
      <c r="D8" s="6">
        <v>0</v>
      </c>
      <c r="E8" s="7">
        <f>SUMIF(Sheet3!B:B,C8,Sheet3!C:C)</f>
        <v>2.0833333333333332E-2</v>
      </c>
    </row>
    <row r="9" spans="1:7" x14ac:dyDescent="0.2">
      <c r="A9" s="4" t="s">
        <v>107</v>
      </c>
      <c r="B9" s="5" t="s">
        <v>72</v>
      </c>
      <c r="C9" s="5" t="s">
        <v>109</v>
      </c>
      <c r="D9" s="6">
        <v>0</v>
      </c>
      <c r="E9" s="7">
        <f>SUMIF(Sheet3!B:B,C9,Sheet3!C:C)</f>
        <v>4.4444444444444509E-2</v>
      </c>
    </row>
    <row r="10" spans="1:7" x14ac:dyDescent="0.2">
      <c r="A10" s="4" t="s">
        <v>107</v>
      </c>
      <c r="C10" s="26" t="s">
        <v>111</v>
      </c>
      <c r="D10" s="6">
        <v>1</v>
      </c>
      <c r="E10" s="7">
        <f>SUMIF(Sheet3!B:B,C10,Sheet3!C:C)</f>
        <v>0</v>
      </c>
    </row>
    <row r="11" spans="1:7" x14ac:dyDescent="0.2">
      <c r="A11" s="4" t="s">
        <v>107</v>
      </c>
      <c r="C11" s="26" t="s">
        <v>112</v>
      </c>
      <c r="D11" s="6">
        <v>0</v>
      </c>
      <c r="E11" s="7">
        <f>SUMIF(Sheet3!B:B,C11,Sheet3!C:C)</f>
        <v>2.0833333333333332E-2</v>
      </c>
    </row>
    <row r="12" spans="1:7" x14ac:dyDescent="0.2">
      <c r="A12" s="4" t="s">
        <v>107</v>
      </c>
      <c r="C12" s="5" t="s">
        <v>110</v>
      </c>
      <c r="D12" s="6">
        <v>1</v>
      </c>
      <c r="E12" s="7">
        <f>SUMIF(Sheet3!B:B,C12,Sheet3!C:C)</f>
        <v>0</v>
      </c>
    </row>
    <row r="13" spans="1:7" x14ac:dyDescent="0.2">
      <c r="A13" s="4" t="s">
        <v>93</v>
      </c>
      <c r="C13" s="26" t="s">
        <v>94</v>
      </c>
      <c r="D13" s="6">
        <v>1</v>
      </c>
      <c r="E13" s="7">
        <f>SUMIF(Sheet3!B:B,C13,Sheet3!C:C)</f>
        <v>0</v>
      </c>
    </row>
    <row r="14" spans="1:7" x14ac:dyDescent="0.2">
      <c r="A14" s="4" t="s">
        <v>37</v>
      </c>
      <c r="B14" s="5" t="s">
        <v>49</v>
      </c>
      <c r="C14" s="4" t="s">
        <v>13</v>
      </c>
      <c r="D14" s="6">
        <v>1</v>
      </c>
      <c r="E14" s="7">
        <f>SUMIF(Sheet3!B:B,C14,Sheet3!C:C)</f>
        <v>0</v>
      </c>
    </row>
    <row r="15" spans="1:7" x14ac:dyDescent="0.2">
      <c r="A15" s="4" t="s">
        <v>37</v>
      </c>
      <c r="B15" s="5" t="s">
        <v>50</v>
      </c>
      <c r="C15" s="4" t="s">
        <v>14</v>
      </c>
      <c r="D15" s="6">
        <v>0</v>
      </c>
      <c r="E15" s="7">
        <f>SUMIF(Sheet3!B:B,C15,Sheet3!C:C)</f>
        <v>4.1666666666666664E-2</v>
      </c>
    </row>
    <row r="16" spans="1:7" x14ac:dyDescent="0.2">
      <c r="A16" s="4" t="s">
        <v>37</v>
      </c>
      <c r="B16" s="5" t="s">
        <v>51</v>
      </c>
      <c r="C16" s="4" t="s">
        <v>15</v>
      </c>
      <c r="D16" s="6">
        <v>1</v>
      </c>
      <c r="E16" s="7">
        <f>SUMIF(Sheet3!B:B,C16,Sheet3!C:C)</f>
        <v>0</v>
      </c>
    </row>
    <row r="17" spans="1:7" x14ac:dyDescent="0.2">
      <c r="A17" s="4" t="s">
        <v>37</v>
      </c>
      <c r="B17" s="5" t="s">
        <v>52</v>
      </c>
      <c r="C17" s="4" t="s">
        <v>23</v>
      </c>
      <c r="D17" s="6">
        <v>1</v>
      </c>
      <c r="E17" s="7">
        <f>SUMIF(Sheet3!B:B,C17,Sheet3!C:C)</f>
        <v>0</v>
      </c>
    </row>
    <row r="18" spans="1:7" x14ac:dyDescent="0.2">
      <c r="A18" s="4" t="s">
        <v>11</v>
      </c>
      <c r="B18" s="5" t="s">
        <v>73</v>
      </c>
      <c r="C18" s="5" t="s">
        <v>26</v>
      </c>
      <c r="D18" s="6">
        <v>1</v>
      </c>
      <c r="E18" s="7">
        <f>SUMIF(Sheet3!B:B,C18,Sheet3!C:C)</f>
        <v>0</v>
      </c>
    </row>
    <row r="19" spans="1:7" x14ac:dyDescent="0.2">
      <c r="A19" s="4" t="s">
        <v>16</v>
      </c>
      <c r="B19" s="5" t="s">
        <v>75</v>
      </c>
      <c r="C19" s="4" t="s">
        <v>16</v>
      </c>
      <c r="D19" s="6">
        <v>1</v>
      </c>
      <c r="E19" s="7">
        <f>SUMIF(Sheet3!B:B,C19,Sheet3!C:C)</f>
        <v>0</v>
      </c>
    </row>
    <row r="20" spans="1:7" x14ac:dyDescent="0.2">
      <c r="A20" s="4" t="s">
        <v>16</v>
      </c>
      <c r="B20" s="5" t="s">
        <v>76</v>
      </c>
      <c r="C20" s="5" t="s">
        <v>27</v>
      </c>
      <c r="D20" s="6">
        <v>1</v>
      </c>
      <c r="E20" s="7">
        <f>SUMIF(Sheet3!B:B,C20,Sheet3!C:C)</f>
        <v>0</v>
      </c>
    </row>
    <row r="21" spans="1:7" x14ac:dyDescent="0.2">
      <c r="A21" s="4" t="s">
        <v>16</v>
      </c>
      <c r="B21" s="5" t="s">
        <v>77</v>
      </c>
      <c r="C21" s="5" t="s">
        <v>28</v>
      </c>
      <c r="D21" s="6">
        <v>1</v>
      </c>
      <c r="E21" s="7">
        <f>SUMIF(Sheet3!B:B,C21,Sheet3!C:C)</f>
        <v>0</v>
      </c>
    </row>
    <row r="22" spans="1:7" x14ac:dyDescent="0.2">
      <c r="A22" s="4" t="s">
        <v>17</v>
      </c>
      <c r="B22" s="5" t="s">
        <v>81</v>
      </c>
      <c r="C22" s="5" t="s">
        <v>18</v>
      </c>
      <c r="D22" s="6">
        <v>1</v>
      </c>
      <c r="E22" s="7">
        <f>SUMIF(Sheet3!B:B,C22,Sheet3!C:C)</f>
        <v>0</v>
      </c>
    </row>
    <row r="23" spans="1:7" x14ac:dyDescent="0.2">
      <c r="A23" s="4" t="s">
        <v>17</v>
      </c>
      <c r="B23" s="5" t="s">
        <v>82</v>
      </c>
      <c r="C23" s="5" t="s">
        <v>19</v>
      </c>
      <c r="D23" s="6">
        <v>1</v>
      </c>
      <c r="E23" s="7">
        <f>SUMIF(Sheet3!B:B,C23,Sheet3!C:C)</f>
        <v>0</v>
      </c>
    </row>
    <row r="24" spans="1:7" x14ac:dyDescent="0.2">
      <c r="A24" s="4" t="s">
        <v>9</v>
      </c>
      <c r="B24" s="5" t="s">
        <v>53</v>
      </c>
      <c r="C24" s="4" t="s">
        <v>20</v>
      </c>
      <c r="D24" s="6">
        <v>2</v>
      </c>
      <c r="E24" s="7">
        <f>SUMIF(Sheet3!B:B,C24,Sheet3!C:C)</f>
        <v>0</v>
      </c>
    </row>
    <row r="25" spans="1:7" x14ac:dyDescent="0.2">
      <c r="A25" s="4" t="s">
        <v>9</v>
      </c>
      <c r="B25" s="5" t="s">
        <v>54</v>
      </c>
      <c r="C25" s="4" t="s">
        <v>25</v>
      </c>
      <c r="D25" s="6">
        <v>2</v>
      </c>
      <c r="E25" s="7">
        <f>SUMIF(Sheet3!B:B,C25,Sheet3!C:C)</f>
        <v>0</v>
      </c>
    </row>
    <row r="26" spans="1:7" x14ac:dyDescent="0.2">
      <c r="A26" s="4" t="s">
        <v>16</v>
      </c>
      <c r="B26" s="5" t="s">
        <v>78</v>
      </c>
      <c r="C26" s="5" t="s">
        <v>29</v>
      </c>
      <c r="D26" s="6">
        <v>2</v>
      </c>
      <c r="E26" s="7">
        <f>SUMIF(Sheet3!B:B,C26,Sheet3!C:C)</f>
        <v>0</v>
      </c>
    </row>
    <row r="27" spans="1:7" x14ac:dyDescent="0.2">
      <c r="A27" s="4" t="s">
        <v>17</v>
      </c>
      <c r="B27" s="5" t="s">
        <v>83</v>
      </c>
      <c r="C27" s="5" t="s">
        <v>30</v>
      </c>
      <c r="D27" s="6">
        <v>2</v>
      </c>
      <c r="E27" s="7">
        <f>SUMIF(Sheet3!B:B,C27,Sheet3!C:C)</f>
        <v>0</v>
      </c>
    </row>
    <row r="28" spans="1:7" x14ac:dyDescent="0.2">
      <c r="A28" s="8" t="s">
        <v>21</v>
      </c>
      <c r="B28" s="5" t="s">
        <v>74</v>
      </c>
      <c r="C28" s="9" t="s">
        <v>22</v>
      </c>
      <c r="D28" s="6">
        <v>5</v>
      </c>
      <c r="E28" s="7">
        <f>SUMIF(Sheet3!B:B,C28,Sheet3!C:C)</f>
        <v>1.4583333333332948E-2</v>
      </c>
      <c r="G28" s="35">
        <v>1</v>
      </c>
    </row>
  </sheetData>
  <autoFilter ref="A1:E28"/>
  <sortState ref="A2:G25">
    <sortCondition ref="D2:D25"/>
    <sortCondition descending="1" ref="E2:E25"/>
  </sortState>
  <phoneticPr fontId="4" type="noConversion"/>
  <conditionalFormatting sqref="A2:A28 C2:E28">
    <cfRule type="expression" dxfId="5" priority="6">
      <formula>$D2=0</formula>
    </cfRule>
  </conditionalFormatting>
  <conditionalFormatting sqref="A1:A6 A14:A1048576 C14:E1048576 C1:E6">
    <cfRule type="expression" dxfId="4" priority="5">
      <formula>$D2=100</formula>
    </cfRule>
  </conditionalFormatting>
  <conditionalFormatting sqref="A13 C13:E13">
    <cfRule type="expression" dxfId="3" priority="9">
      <formula>$D17=100</formula>
    </cfRule>
  </conditionalFormatting>
  <conditionalFormatting sqref="A14:A17">
    <cfRule type="expression" dxfId="2" priority="11">
      <formula>$D16=100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conditionalFormatting sqref="A12 C12:E12">
    <cfRule type="expression" dxfId="1" priority="12">
      <formula>$D17=100</formula>
    </cfRule>
  </conditionalFormatting>
  <conditionalFormatting sqref="A7:A11 C7:E11">
    <cfRule type="expression" dxfId="0" priority="17">
      <formula>$D14=100</formula>
    </cfRule>
  </conditionalFormatting>
  <hyperlinks>
    <hyperlink ref="C13" r:id="rId1" location="/learn/content"/>
    <hyperlink ref="C10" r:id="rId2"/>
    <hyperlink ref="C11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5"/>
  <sheetViews>
    <sheetView topLeftCell="A21" workbookViewId="0">
      <selection activeCell="C25" sqref="C25"/>
    </sheetView>
  </sheetViews>
  <sheetFormatPr defaultColWidth="9" defaultRowHeight="14.25" x14ac:dyDescent="0.2"/>
  <cols>
    <col min="1" max="1" width="11.5" style="27" customWidth="1"/>
    <col min="2" max="2" width="22.375" customWidth="1"/>
    <col min="3" max="3" width="10.125" style="1" customWidth="1"/>
    <col min="4" max="5" width="9" style="1"/>
    <col min="6" max="6" width="9" style="2"/>
  </cols>
  <sheetData>
    <row r="1" spans="1:6" x14ac:dyDescent="0.2">
      <c r="A1" s="27" t="s">
        <v>31</v>
      </c>
      <c r="B1" t="s">
        <v>32</v>
      </c>
      <c r="C1" s="3" t="s">
        <v>3</v>
      </c>
      <c r="D1" s="1" t="s">
        <v>1</v>
      </c>
      <c r="E1" s="1" t="s">
        <v>2</v>
      </c>
      <c r="F1" s="2" t="s">
        <v>0</v>
      </c>
    </row>
    <row r="2" spans="1:6" x14ac:dyDescent="0.2">
      <c r="A2" s="27">
        <v>42300</v>
      </c>
      <c r="B2" t="s">
        <v>8</v>
      </c>
      <c r="C2" s="1">
        <v>4.1666666666666699E-2</v>
      </c>
      <c r="F2" s="2">
        <f t="shared" ref="F2:F25" ca="1" si="0">TODAY()-A2</f>
        <v>13</v>
      </c>
    </row>
    <row r="3" spans="1:6" x14ac:dyDescent="0.2">
      <c r="A3" s="27">
        <v>42300</v>
      </c>
      <c r="B3" t="s">
        <v>12</v>
      </c>
      <c r="C3" s="1">
        <v>6.25E-2</v>
      </c>
      <c r="F3" s="2">
        <f t="shared" ca="1" si="0"/>
        <v>13</v>
      </c>
    </row>
    <row r="4" spans="1:6" x14ac:dyDescent="0.2">
      <c r="A4" s="27">
        <v>42301</v>
      </c>
      <c r="B4" t="s">
        <v>33</v>
      </c>
      <c r="C4" s="1">
        <f>E4-D4</f>
        <v>0.100694444444444</v>
      </c>
      <c r="D4" s="1">
        <v>0</v>
      </c>
      <c r="E4" s="1">
        <v>0.100694444444444</v>
      </c>
      <c r="F4" s="2">
        <f t="shared" ca="1" si="0"/>
        <v>12</v>
      </c>
    </row>
    <row r="5" spans="1:6" x14ac:dyDescent="0.2">
      <c r="A5" s="27">
        <v>42302</v>
      </c>
      <c r="B5" t="s">
        <v>22</v>
      </c>
      <c r="C5" s="1">
        <f>E5-D5</f>
        <v>1.4583333333332948E-2</v>
      </c>
      <c r="D5" s="1">
        <v>0.53125</v>
      </c>
      <c r="E5" s="1">
        <v>0.54583333333333295</v>
      </c>
      <c r="F5" s="2">
        <f t="shared" ca="1" si="0"/>
        <v>11</v>
      </c>
    </row>
    <row r="6" spans="1:6" x14ac:dyDescent="0.2">
      <c r="A6" s="27">
        <v>42303</v>
      </c>
      <c r="B6" t="s">
        <v>8</v>
      </c>
      <c r="C6" s="1">
        <v>4.1666666666666699E-2</v>
      </c>
      <c r="F6" s="2">
        <f t="shared" ca="1" si="0"/>
        <v>10</v>
      </c>
    </row>
    <row r="7" spans="1:6" x14ac:dyDescent="0.2">
      <c r="A7" s="27">
        <v>42303</v>
      </c>
      <c r="B7" t="s">
        <v>12</v>
      </c>
      <c r="C7" s="1">
        <v>4.1666666666666664E-2</v>
      </c>
      <c r="F7" s="2">
        <f t="shared" ca="1" si="0"/>
        <v>10</v>
      </c>
    </row>
    <row r="8" spans="1:6" x14ac:dyDescent="0.2">
      <c r="A8" s="27">
        <v>42304</v>
      </c>
      <c r="B8" t="s">
        <v>8</v>
      </c>
      <c r="C8" s="1">
        <v>6.25E-2</v>
      </c>
      <c r="F8" s="2">
        <f t="shared" ca="1" si="0"/>
        <v>9</v>
      </c>
    </row>
    <row r="9" spans="1:6" x14ac:dyDescent="0.2">
      <c r="A9" s="27">
        <v>42304</v>
      </c>
      <c r="B9" t="s">
        <v>24</v>
      </c>
      <c r="C9" s="1">
        <v>2.0833333333333332E-2</v>
      </c>
      <c r="F9" s="2">
        <f t="shared" ca="1" si="0"/>
        <v>9</v>
      </c>
    </row>
    <row r="10" spans="1:6" x14ac:dyDescent="0.2">
      <c r="A10" s="27">
        <v>42305</v>
      </c>
      <c r="B10" t="s">
        <v>8</v>
      </c>
      <c r="C10" s="1">
        <v>3.125E-2</v>
      </c>
      <c r="F10" s="2">
        <f t="shared" ca="1" si="0"/>
        <v>8</v>
      </c>
    </row>
    <row r="11" spans="1:6" x14ac:dyDescent="0.2">
      <c r="A11" s="27">
        <v>42305</v>
      </c>
      <c r="B11" t="s">
        <v>36</v>
      </c>
      <c r="C11" s="1">
        <v>4.5138888888888888E-2</v>
      </c>
      <c r="F11" s="2">
        <f t="shared" ca="1" si="0"/>
        <v>8</v>
      </c>
    </row>
    <row r="12" spans="1:6" x14ac:dyDescent="0.2">
      <c r="A12" s="27">
        <v>42306</v>
      </c>
      <c r="B12" t="s">
        <v>8</v>
      </c>
      <c r="C12" s="1">
        <v>4.1666666666666664E-2</v>
      </c>
      <c r="F12" s="2">
        <f t="shared" ca="1" si="0"/>
        <v>7</v>
      </c>
    </row>
    <row r="13" spans="1:6" x14ac:dyDescent="0.2">
      <c r="A13" s="27">
        <v>42307</v>
      </c>
      <c r="B13" t="s">
        <v>8</v>
      </c>
      <c r="C13" s="1">
        <v>4.1666666666666664E-2</v>
      </c>
      <c r="F13" s="2">
        <f t="shared" ca="1" si="0"/>
        <v>6</v>
      </c>
    </row>
    <row r="14" spans="1:6" x14ac:dyDescent="0.2">
      <c r="A14" s="27">
        <v>42308</v>
      </c>
      <c r="B14" t="s">
        <v>84</v>
      </c>
      <c r="C14" s="1">
        <f>E14-D14</f>
        <v>3.6805555555555536E-2</v>
      </c>
      <c r="D14" s="1">
        <v>0.60902777777777783</v>
      </c>
      <c r="E14" s="1">
        <v>0.64583333333333337</v>
      </c>
      <c r="F14" s="2">
        <f t="shared" ca="1" si="0"/>
        <v>5</v>
      </c>
    </row>
    <row r="15" spans="1:6" x14ac:dyDescent="0.2">
      <c r="A15" s="27">
        <v>42310</v>
      </c>
      <c r="B15" t="s">
        <v>90</v>
      </c>
      <c r="C15" s="1">
        <v>3.125E-2</v>
      </c>
      <c r="F15" s="2">
        <f t="shared" ca="1" si="0"/>
        <v>3</v>
      </c>
    </row>
    <row r="16" spans="1:6" x14ac:dyDescent="0.2">
      <c r="A16" s="27">
        <v>42311</v>
      </c>
      <c r="B16" t="s">
        <v>8</v>
      </c>
      <c r="C16" s="1">
        <v>4.1666666666666664E-2</v>
      </c>
      <c r="F16" s="2">
        <f t="shared" ca="1" si="0"/>
        <v>2</v>
      </c>
    </row>
    <row r="17" spans="1:6" x14ac:dyDescent="0.2">
      <c r="A17" s="27">
        <v>42311</v>
      </c>
      <c r="B17" t="s">
        <v>90</v>
      </c>
      <c r="C17" s="1">
        <v>2.0833333333333332E-2</v>
      </c>
      <c r="F17" s="2">
        <f t="shared" ca="1" si="0"/>
        <v>2</v>
      </c>
    </row>
    <row r="18" spans="1:6" x14ac:dyDescent="0.2">
      <c r="A18" s="27">
        <v>42312</v>
      </c>
      <c r="B18" t="s">
        <v>8</v>
      </c>
      <c r="C18" s="1">
        <v>4.1666666666666664E-2</v>
      </c>
      <c r="F18" s="2">
        <f t="shared" ca="1" si="0"/>
        <v>1</v>
      </c>
    </row>
    <row r="19" spans="1:6" x14ac:dyDescent="0.2">
      <c r="A19" s="27">
        <v>42312</v>
      </c>
      <c r="B19" t="s">
        <v>90</v>
      </c>
      <c r="C19" s="1">
        <v>2.0833333333333332E-2</v>
      </c>
      <c r="F19" s="2">
        <f t="shared" ca="1" si="0"/>
        <v>1</v>
      </c>
    </row>
    <row r="20" spans="1:6" x14ac:dyDescent="0.2">
      <c r="A20" s="27">
        <v>42312</v>
      </c>
      <c r="B20" t="s">
        <v>12</v>
      </c>
      <c r="C20" s="1">
        <v>4.1666666666666664E-2</v>
      </c>
      <c r="F20" s="2">
        <f t="shared" ca="1" si="0"/>
        <v>1</v>
      </c>
    </row>
    <row r="21" spans="1:6" x14ac:dyDescent="0.2">
      <c r="A21" s="27">
        <v>42312</v>
      </c>
      <c r="B21" t="s">
        <v>36</v>
      </c>
      <c r="C21" s="1">
        <v>6.25E-2</v>
      </c>
      <c r="F21" s="2">
        <f t="shared" ca="1" si="0"/>
        <v>1</v>
      </c>
    </row>
    <row r="22" spans="1:6" x14ac:dyDescent="0.2">
      <c r="A22" s="27">
        <v>42312</v>
      </c>
      <c r="B22" t="s">
        <v>108</v>
      </c>
      <c r="C22" s="1">
        <f>E22-D22</f>
        <v>4.4444444444444509E-2</v>
      </c>
      <c r="D22" s="1">
        <v>0.82013888888888886</v>
      </c>
      <c r="E22" s="1">
        <v>0.86458333333333337</v>
      </c>
      <c r="F22" s="2">
        <f t="shared" ca="1" si="0"/>
        <v>1</v>
      </c>
    </row>
    <row r="23" spans="1:6" x14ac:dyDescent="0.2">
      <c r="A23" s="27">
        <v>42313</v>
      </c>
      <c r="B23" t="s">
        <v>8</v>
      </c>
      <c r="C23" s="1">
        <v>4.8611111111111112E-2</v>
      </c>
      <c r="F23" s="2">
        <f t="shared" ca="1" si="0"/>
        <v>0</v>
      </c>
    </row>
    <row r="24" spans="1:6" x14ac:dyDescent="0.2">
      <c r="A24" s="27">
        <v>42313</v>
      </c>
      <c r="B24" t="s">
        <v>113</v>
      </c>
      <c r="C24" s="1">
        <v>2.0833333333333332E-2</v>
      </c>
      <c r="F24" s="2">
        <f t="shared" ca="1" si="0"/>
        <v>0</v>
      </c>
    </row>
    <row r="25" spans="1:6" x14ac:dyDescent="0.2">
      <c r="A25" s="27">
        <v>42313</v>
      </c>
      <c r="B25" t="s">
        <v>14</v>
      </c>
      <c r="C25" s="1">
        <v>4.1666666666666664E-2</v>
      </c>
      <c r="F25" s="2">
        <f t="shared" ca="1" si="0"/>
        <v>0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2015-11-05T15:16:59Z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