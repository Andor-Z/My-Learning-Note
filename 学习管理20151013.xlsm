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<sst xmlns="http://schemas.openxmlformats.org/spreadsheetml/2006/main" count="440" uniqueCount="198">
  <si>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</si>
  <si>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</si>
  <si>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</si>
  <si>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</si>
  <si>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</si>
  <si>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</si>
  <si>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</si>
  <si>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</si>
  <si>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</si>
  <si>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</si>
  <si>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</si>
  <si>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</si>
  <si>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</si>
  <si>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</si>
  <si>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</si>
  <si>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</si>
  <si>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</si>
  <si>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</si>
  <si>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</si>
  <si>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</si>
  <si>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</si>
  <si>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</si>
  <si>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</si>
  <si>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</si>
  <si>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</si>
  <si>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</si>
  <si>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</si>
  <si>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</si>
  <si>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</si>
  <si>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</si>
  <si>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</si>
  <si>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</si>
  <si>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</si>
  <si>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</si>
  <si>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</si>
  <si>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</si>
  <si>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</si>
  <si>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</si>
  <si>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</si>
  <si>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</si>
  <si>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</si>
  <si>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</si>
  <si>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</si>
  <si>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</si>
  <si>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</si>
  <si>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</si>
  <si>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</si>
  <si>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</si>
  <si>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</si>
  <si>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</si>
  <si>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</si>
  <si>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</si>
  <si>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</si>
  <si>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</si>
  <si>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</si>
  <si>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</si>
  <si>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</si>
  <si>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</si>
  <si>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</si>
  <si>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</si>
  <si>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</si>
  <si>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</si>
  <si>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</si>
  <si>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</si>
  <si>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</si>
  <si>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</si>
  <si>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</si>
  <si>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</si>
  <si>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</si>
  <si>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</si>
  <si>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</si>
  <si>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</si>
  <si>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</si>
  <si>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</si>
  <si>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</si>
  <si>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</si>
  <si>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</si>
  <si>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</si>
  <si>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</si>
  <si>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</si>
  <si>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</si>
  <si>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</si>
  <si>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</si>
  <si>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</si>
  <si>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</si>
  <si>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</si>
  <si>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</si>
  <si>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</si>
  <si>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</si>
  <si>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</si>
  <si>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</si>
  <si>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</si>
  <si>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</si>
  <si>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</si>
  <si>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</si>
  <si>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</si>
  <si>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</si>
  <si>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</si>
  <si>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</si>
  <si>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</si>
  <si>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</si>
  <si>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</si>
  <si>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</si>
  <si>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</si>
  <si>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</si>
  <si>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</si>
  <si>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</si>
  <si>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</si>
  <si>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</si>
  <si>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</si>
  <si>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</si>
  <si>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</si>
  <si>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</si>
  <si>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</si>
  <si>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</si>
  <si>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</si>
  <si>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</si>
  <si>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</si>
  <si>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</si>
  <si>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</si>
  <si>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</si>
  <si>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</si>
  <si>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</si>
  <si>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</si>
  <si>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</si>
  <si>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</si>
  <si>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</si>
  <si>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</si>
  <si>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</si>
  <si>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</si>
  <si>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</si>
  <si>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</si>
  <si>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</si>
  <si>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</si>
  <si>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</si>
  <si>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</si>
  <si>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</si>
  <si>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</si>
  <si>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</si>
  <si>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</si>
  <si>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</si>
  <si>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</si>
  <si>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</si>
  <si>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</si>
  <si>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</si>
  <si>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</si>
  <si>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</si>
  <si>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</si>
  <si>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</si>
  <si>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</si>
  <si>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</si>
  <si>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</si>
  <si>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</si>
  <si>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</si>
  <si>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</si>
  <si>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</si>
  <si>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</si>
  <si>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</si>
  <si>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</si>
  <si>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</si>
  <si>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</si>
  <si>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</si>
  <si>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</si>
  <si>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</si>
  <si>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</si>
  <si>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</si>
  <si>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</si>
  <si>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</si>
  <si>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</si>
  <si>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</si>
  <si>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</si>
  <si>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</si>
  <si>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</si>
  <si>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</si>
  <si>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</si>
  <si>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</si>
  <si>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</si>
  <si>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</si>
  <si>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</si>
  <si>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</si>
  <si>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</si>
  <si>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</si>
  <si>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</si>
  <si>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</si>
  <si>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</si>
  <si>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</si>
  <si>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</si>
  <si>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</si>
  <si>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</si>
  <si>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</si>
  <si>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#N/A</t>
  </si>
  <si>
    <t>(空白)</t>
  </si>
  <si>
    <t>卷腹</t>
  </si>
  <si>
    <t>卷腹</t>
    <phoneticPr fontId="10" type="noConversion"/>
  </si>
  <si>
    <t>仰卧举腿</t>
  </si>
  <si>
    <t>仰卧举腿</t>
    <phoneticPr fontId="10" type="noConversion"/>
  </si>
  <si>
    <t>2月16日</t>
  </si>
  <si>
    <t>每周运动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</si>
</sst>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1"/>
      <tableStyleElement type="headerRow" dxfId="100"/>
    </tableStyle>
    <tableStyle name="学习" table="0" count="12">
      <tableStyleElement type="wholeTable" dxfId="99"/>
      <tableStyleElement type="headerRow" dxfId="98"/>
      <tableStyleElement type="totalRow" dxfId="97"/>
      <tableStyleElement type="firstColumn" dxfId="96"/>
      <tableStyleElement type="secondRowStripe" dxfId="95"/>
      <tableStyleElement type="secondColumnStripe" dxfId="94"/>
      <tableStyleElement type="firstSubtotalColumn" dxfId="93"/>
      <tableStyleElement type="firstSubtotalRow" dxfId="92"/>
      <tableStyleElement type="firstRowSubheading" dxfId="91"/>
      <tableStyleElement type="secondRowSubheading" dxfId="90"/>
      <tableStyleElement type="pageFieldLabels" dxfId="89"/>
      <tableStyleElement type="pageFieldValues" dxfId="8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18.784140277778" createdVersion="6" refreshedVersion="6" minRefreshableVersion="3" recordCount="101">
  <cacheSource type="worksheet">
    <worksheetSource name="运动"/>
  </cacheSource>
  <cacheFields count="5">
    <cacheField name="时间" numFmtId="182">
      <sharedItems containsSemiMixedTypes="0" containsNonDate="0" containsDate="1" containsString="0" minDate="2015-11-15T00:00:00" maxDate="2016-02-17T00:00:00" count="21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</sharedItems>
      <fieldGroup base="0">
        <rangePr groupBy="days" startDate="2015-11-15T00:00:00" endDate="2016-02-17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2-17"/>
        </groupItems>
      </fieldGroup>
    </cacheField>
    <cacheField name="项目" numFmtId="177">
      <sharedItems count="12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2" maxValue="95"/>
    </cacheField>
    <cacheField name="本日组数" numFmtId="183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18.784140625001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2-15T00:00:00" count="5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2-14T00:00:00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/>
      </sharedItems>
    </cacheField>
    <cacheField name="距离今天" numFmtId="37">
      <sharedItems containsSemiMixedTypes="0" containsString="0" containsNumber="1" containsInteger="1" minValue="4" maxValue="118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n v="30"/>
    <n v="95"/>
    <n v="2"/>
  </r>
  <r>
    <x v="0"/>
    <x v="1"/>
    <n v="50"/>
    <n v="95"/>
    <n v="2"/>
  </r>
  <r>
    <x v="0"/>
    <x v="2"/>
    <n v="13"/>
    <n v="95"/>
    <n v="2"/>
  </r>
  <r>
    <x v="0"/>
    <x v="3"/>
    <n v="10"/>
    <n v="95"/>
    <n v="2"/>
  </r>
  <r>
    <x v="0"/>
    <x v="0"/>
    <n v="30"/>
    <n v="95"/>
    <n v="2"/>
  </r>
  <r>
    <x v="0"/>
    <x v="1"/>
    <n v="45"/>
    <n v="95"/>
    <n v="2"/>
  </r>
  <r>
    <x v="0"/>
    <x v="2"/>
    <n v="20"/>
    <n v="95"/>
    <n v="2"/>
  </r>
  <r>
    <x v="0"/>
    <x v="3"/>
    <n v="15"/>
    <n v="95"/>
    <n v="2"/>
  </r>
  <r>
    <x v="1"/>
    <x v="3"/>
    <n v="20"/>
    <n v="93"/>
    <n v="3"/>
  </r>
  <r>
    <x v="1"/>
    <x v="3"/>
    <n v="15"/>
    <n v="93"/>
    <n v="3"/>
  </r>
  <r>
    <x v="1"/>
    <x v="1"/>
    <n v="35"/>
    <n v="93"/>
    <n v="1"/>
  </r>
  <r>
    <x v="1"/>
    <x v="2"/>
    <n v="20"/>
    <n v="93"/>
    <n v="1"/>
  </r>
  <r>
    <x v="1"/>
    <x v="3"/>
    <n v="15"/>
    <n v="93"/>
    <n v="3"/>
  </r>
  <r>
    <x v="1"/>
    <x v="0"/>
    <n v="35"/>
    <n v="93"/>
    <n v="1"/>
  </r>
  <r>
    <x v="2"/>
    <x v="4"/>
    <n v="1"/>
    <n v="92"/>
    <n v="1"/>
  </r>
  <r>
    <x v="3"/>
    <x v="4"/>
    <n v="1"/>
    <n v="91"/>
    <n v="1"/>
  </r>
  <r>
    <x v="3"/>
    <x v="3"/>
    <n v="15"/>
    <n v="91"/>
    <n v="1"/>
  </r>
  <r>
    <x v="4"/>
    <x v="3"/>
    <n v="10"/>
    <n v="90"/>
    <n v="3"/>
  </r>
  <r>
    <x v="4"/>
    <x v="3"/>
    <n v="15"/>
    <n v="90"/>
    <n v="3"/>
  </r>
  <r>
    <x v="4"/>
    <x v="3"/>
    <n v="16"/>
    <n v="90"/>
    <n v="3"/>
  </r>
  <r>
    <x v="5"/>
    <x v="5"/>
    <n v="10"/>
    <n v="88"/>
    <n v="5"/>
  </r>
  <r>
    <x v="5"/>
    <x v="5"/>
    <n v="10"/>
    <n v="88"/>
    <n v="5"/>
  </r>
  <r>
    <x v="5"/>
    <x v="5"/>
    <n v="10"/>
    <n v="88"/>
    <n v="5"/>
  </r>
  <r>
    <x v="5"/>
    <x v="5"/>
    <n v="10"/>
    <n v="88"/>
    <n v="5"/>
  </r>
  <r>
    <x v="5"/>
    <x v="5"/>
    <n v="10"/>
    <n v="88"/>
    <n v="5"/>
  </r>
  <r>
    <x v="6"/>
    <x v="4"/>
    <n v="1"/>
    <n v="87"/>
    <n v="1"/>
  </r>
  <r>
    <x v="6"/>
    <x v="3"/>
    <n v="17"/>
    <n v="87"/>
    <n v="1"/>
  </r>
  <r>
    <x v="6"/>
    <x v="5"/>
    <n v="20"/>
    <n v="87"/>
    <n v="1"/>
  </r>
  <r>
    <x v="7"/>
    <x v="5"/>
    <n v="10"/>
    <n v="86"/>
    <n v="1"/>
  </r>
  <r>
    <x v="7"/>
    <x v="3"/>
    <n v="15"/>
    <n v="86"/>
    <n v="2"/>
  </r>
  <r>
    <x v="7"/>
    <x v="3"/>
    <n v="18"/>
    <n v="86"/>
    <n v="2"/>
  </r>
  <r>
    <x v="8"/>
    <x v="3"/>
    <n v="15"/>
    <n v="85"/>
    <n v="1"/>
  </r>
  <r>
    <x v="9"/>
    <x v="1"/>
    <n v="30"/>
    <n v="83"/>
    <n v="2"/>
  </r>
  <r>
    <x v="9"/>
    <x v="0"/>
    <n v="40"/>
    <n v="83"/>
    <n v="2"/>
  </r>
  <r>
    <x v="9"/>
    <x v="6"/>
    <n v="60"/>
    <n v="83"/>
    <n v="1"/>
  </r>
  <r>
    <x v="9"/>
    <x v="3"/>
    <n v="15"/>
    <n v="83"/>
    <n v="1"/>
  </r>
  <r>
    <x v="9"/>
    <x v="1"/>
    <n v="40"/>
    <n v="83"/>
    <n v="2"/>
  </r>
  <r>
    <x v="9"/>
    <x v="0"/>
    <n v="40"/>
    <n v="83"/>
    <n v="2"/>
  </r>
  <r>
    <x v="10"/>
    <x v="0"/>
    <n v="30"/>
    <n v="82"/>
    <n v="1"/>
  </r>
  <r>
    <x v="10"/>
    <x v="1"/>
    <n v="35"/>
    <n v="82"/>
    <n v="1"/>
  </r>
  <r>
    <x v="11"/>
    <x v="3"/>
    <n v="15"/>
    <n v="80"/>
    <n v="2"/>
  </r>
  <r>
    <x v="11"/>
    <x v="3"/>
    <n v="20"/>
    <n v="80"/>
    <n v="2"/>
  </r>
  <r>
    <x v="12"/>
    <x v="3"/>
    <n v="13"/>
    <n v="72"/>
    <n v="2"/>
  </r>
  <r>
    <x v="12"/>
    <x v="0"/>
    <n v="30"/>
    <n v="72"/>
    <n v="2"/>
  </r>
  <r>
    <x v="12"/>
    <x v="1"/>
    <n v="40"/>
    <n v="72"/>
    <n v="2"/>
  </r>
  <r>
    <x v="12"/>
    <x v="2"/>
    <n v="15"/>
    <n v="72"/>
    <n v="1"/>
  </r>
  <r>
    <x v="12"/>
    <x v="6"/>
    <n v="60"/>
    <n v="72"/>
    <n v="2"/>
  </r>
  <r>
    <x v="12"/>
    <x v="1"/>
    <n v="41"/>
    <n v="72"/>
    <n v="2"/>
  </r>
  <r>
    <x v="12"/>
    <x v="3"/>
    <n v="10"/>
    <n v="72"/>
    <n v="2"/>
  </r>
  <r>
    <x v="12"/>
    <x v="0"/>
    <n v="30"/>
    <n v="72"/>
    <n v="2"/>
  </r>
  <r>
    <x v="12"/>
    <x v="6"/>
    <n v="60"/>
    <n v="72"/>
    <n v="2"/>
  </r>
  <r>
    <x v="13"/>
    <x v="3"/>
    <n v="13"/>
    <n v="65"/>
    <n v="2"/>
  </r>
  <r>
    <x v="13"/>
    <x v="1"/>
    <n v="40"/>
    <n v="65"/>
    <n v="2"/>
  </r>
  <r>
    <x v="13"/>
    <x v="2"/>
    <n v="15"/>
    <n v="65"/>
    <n v="2"/>
  </r>
  <r>
    <x v="13"/>
    <x v="0"/>
    <n v="30"/>
    <n v="65"/>
    <n v="2"/>
  </r>
  <r>
    <x v="13"/>
    <x v="3"/>
    <n v="15"/>
    <n v="65"/>
    <n v="2"/>
  </r>
  <r>
    <x v="13"/>
    <x v="1"/>
    <n v="35"/>
    <n v="65"/>
    <n v="2"/>
  </r>
  <r>
    <x v="13"/>
    <x v="2"/>
    <n v="15"/>
    <n v="65"/>
    <n v="2"/>
  </r>
  <r>
    <x v="13"/>
    <x v="0"/>
    <n v="30"/>
    <n v="65"/>
    <n v="2"/>
  </r>
  <r>
    <x v="14"/>
    <x v="3"/>
    <n v="15"/>
    <n v="64"/>
    <n v="4"/>
  </r>
  <r>
    <x v="14"/>
    <x v="3"/>
    <n v="15"/>
    <n v="64"/>
    <n v="4"/>
  </r>
  <r>
    <x v="14"/>
    <x v="3"/>
    <n v="12"/>
    <n v="64"/>
    <n v="4"/>
  </r>
  <r>
    <x v="14"/>
    <x v="2"/>
    <n v="18"/>
    <n v="64"/>
    <n v="2"/>
  </r>
  <r>
    <x v="14"/>
    <x v="1"/>
    <n v="40"/>
    <n v="64"/>
    <n v="1"/>
  </r>
  <r>
    <x v="14"/>
    <x v="0"/>
    <n v="30"/>
    <n v="64"/>
    <n v="2"/>
  </r>
  <r>
    <x v="14"/>
    <x v="2"/>
    <n v="16"/>
    <n v="64"/>
    <n v="2"/>
  </r>
  <r>
    <x v="14"/>
    <x v="3"/>
    <n v="12"/>
    <n v="64"/>
    <n v="4"/>
  </r>
  <r>
    <x v="14"/>
    <x v="0"/>
    <n v="30"/>
    <n v="64"/>
    <n v="2"/>
  </r>
  <r>
    <x v="15"/>
    <x v="7"/>
    <n v="60"/>
    <n v="46"/>
    <n v="3"/>
  </r>
  <r>
    <x v="15"/>
    <x v="7"/>
    <n v="54"/>
    <n v="46"/>
    <n v="3"/>
  </r>
  <r>
    <x v="15"/>
    <x v="7"/>
    <n v="54"/>
    <n v="46"/>
    <n v="3"/>
  </r>
  <r>
    <x v="16"/>
    <x v="3"/>
    <n v="10"/>
    <n v="40"/>
    <n v="1"/>
  </r>
  <r>
    <x v="16"/>
    <x v="2"/>
    <n v="10"/>
    <n v="40"/>
    <n v="1"/>
  </r>
  <r>
    <x v="16"/>
    <x v="1"/>
    <n v="36"/>
    <n v="40"/>
    <n v="1"/>
  </r>
  <r>
    <x v="17"/>
    <x v="6"/>
    <n v="60"/>
    <n v="37"/>
    <n v="1"/>
  </r>
  <r>
    <x v="17"/>
    <x v="2"/>
    <n v="16"/>
    <n v="37"/>
    <n v="1"/>
  </r>
  <r>
    <x v="17"/>
    <x v="3"/>
    <n v="15"/>
    <n v="37"/>
    <n v="1"/>
  </r>
  <r>
    <x v="17"/>
    <x v="0"/>
    <n v="30"/>
    <n v="37"/>
    <n v="1"/>
  </r>
  <r>
    <x v="17"/>
    <x v="1"/>
    <n v="40"/>
    <n v="37"/>
    <n v="1"/>
  </r>
  <r>
    <x v="17"/>
    <x v="8"/>
    <n v="1"/>
    <n v="37"/>
    <n v="1"/>
  </r>
  <r>
    <x v="18"/>
    <x v="6"/>
    <n v="61"/>
    <n v="31"/>
    <n v="2"/>
  </r>
  <r>
    <x v="18"/>
    <x v="2"/>
    <n v="11"/>
    <n v="31"/>
    <n v="2"/>
  </r>
  <r>
    <x v="18"/>
    <x v="3"/>
    <n v="15"/>
    <n v="31"/>
    <n v="2"/>
  </r>
  <r>
    <x v="18"/>
    <x v="0"/>
    <n v="30"/>
    <n v="31"/>
    <n v="2"/>
  </r>
  <r>
    <x v="18"/>
    <x v="1"/>
    <n v="35"/>
    <n v="31"/>
    <n v="2"/>
  </r>
  <r>
    <x v="18"/>
    <x v="8"/>
    <n v="1"/>
    <n v="31"/>
    <n v="2"/>
  </r>
  <r>
    <x v="18"/>
    <x v="6"/>
    <n v="60"/>
    <n v="31"/>
    <n v="2"/>
  </r>
  <r>
    <x v="18"/>
    <x v="2"/>
    <n v="12"/>
    <n v="31"/>
    <n v="2"/>
  </r>
  <r>
    <x v="18"/>
    <x v="3"/>
    <n v="15"/>
    <n v="31"/>
    <n v="2"/>
  </r>
  <r>
    <x v="18"/>
    <x v="0"/>
    <n v="35"/>
    <n v="31"/>
    <n v="2"/>
  </r>
  <r>
    <x v="18"/>
    <x v="1"/>
    <n v="30"/>
    <n v="31"/>
    <n v="2"/>
  </r>
  <r>
    <x v="18"/>
    <x v="8"/>
    <n v="1"/>
    <n v="31"/>
    <n v="2"/>
  </r>
  <r>
    <x v="19"/>
    <x v="9"/>
    <n v="2"/>
    <n v="14"/>
    <n v="1"/>
  </r>
  <r>
    <x v="20"/>
    <x v="6"/>
    <n v="60"/>
    <n v="2"/>
    <n v="3"/>
  </r>
  <r>
    <x v="20"/>
    <x v="6"/>
    <n v="60"/>
    <n v="2"/>
    <n v="3"/>
  </r>
  <r>
    <x v="20"/>
    <x v="2"/>
    <n v="20"/>
    <n v="2"/>
    <n v="2"/>
  </r>
  <r>
    <x v="20"/>
    <x v="2"/>
    <n v="20"/>
    <n v="2"/>
    <n v="2"/>
  </r>
  <r>
    <x v="20"/>
    <x v="10"/>
    <n v="8"/>
    <n v="2"/>
    <n v="1"/>
  </r>
  <r>
    <x v="20"/>
    <x v="11"/>
    <n v="11"/>
    <n v="2"/>
    <n v="1"/>
  </r>
  <r>
    <x v="20"/>
    <x v="6"/>
    <n v="65"/>
    <n v="2"/>
    <n v="3"/>
  </r>
  <r>
    <x v="20"/>
    <x v="3"/>
    <n v="15"/>
    <n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18"/>
    <d v="1899-12-30T01:00:00"/>
    <m/>
    <m/>
    <m/>
  </r>
  <r>
    <x v="0"/>
    <x v="1"/>
    <x v="1"/>
    <n v="118"/>
    <d v="1899-12-30T01:30:00"/>
    <m/>
    <m/>
    <m/>
  </r>
  <r>
    <x v="1"/>
    <x v="2"/>
    <x v="2"/>
    <n v="117"/>
    <d v="1899-12-30T02:25:00"/>
    <m/>
    <d v="1899-12-30T00:00:00"/>
    <d v="1899-12-30T02:25:00"/>
  </r>
  <r>
    <x v="2"/>
    <x v="3"/>
    <x v="3"/>
    <n v="116"/>
    <d v="1899-12-30T00:21:00"/>
    <m/>
    <d v="1899-12-30T12:45:00"/>
    <d v="1899-12-30T13:06:00"/>
  </r>
  <r>
    <x v="3"/>
    <x v="0"/>
    <x v="0"/>
    <n v="115"/>
    <d v="1899-12-30T01:00:00"/>
    <m/>
    <m/>
    <m/>
  </r>
  <r>
    <x v="3"/>
    <x v="1"/>
    <x v="1"/>
    <n v="115"/>
    <d v="1899-12-30T01:00:00"/>
    <m/>
    <m/>
    <m/>
  </r>
  <r>
    <x v="4"/>
    <x v="0"/>
    <x v="0"/>
    <n v="114"/>
    <d v="1899-12-30T01:30:00"/>
    <m/>
    <m/>
    <m/>
  </r>
  <r>
    <x v="4"/>
    <x v="2"/>
    <x v="4"/>
    <n v="114"/>
    <d v="1899-12-30T00:30:00"/>
    <m/>
    <m/>
    <m/>
  </r>
  <r>
    <x v="5"/>
    <x v="0"/>
    <x v="0"/>
    <n v="113"/>
    <d v="1899-12-30T00:45:00"/>
    <m/>
    <m/>
    <m/>
  </r>
  <r>
    <x v="5"/>
    <x v="1"/>
    <x v="5"/>
    <n v="113"/>
    <d v="1899-12-30T01:05:00"/>
    <m/>
    <m/>
    <m/>
  </r>
  <r>
    <x v="6"/>
    <x v="0"/>
    <x v="0"/>
    <n v="112"/>
    <d v="1899-12-30T01:00:00"/>
    <m/>
    <m/>
    <m/>
  </r>
  <r>
    <x v="7"/>
    <x v="0"/>
    <x v="0"/>
    <n v="111"/>
    <d v="1899-12-30T01:00:00"/>
    <m/>
    <m/>
    <m/>
  </r>
  <r>
    <x v="8"/>
    <x v="2"/>
    <x v="6"/>
    <n v="110"/>
    <d v="1899-12-30T00:53:00"/>
    <m/>
    <d v="1899-12-30T14:37:00"/>
    <d v="1899-12-30T15:30:00"/>
  </r>
  <r>
    <x v="9"/>
    <x v="4"/>
    <x v="7"/>
    <n v="108"/>
    <d v="1899-12-30T00:45:00"/>
    <m/>
    <m/>
    <m/>
  </r>
  <r>
    <x v="10"/>
    <x v="0"/>
    <x v="0"/>
    <n v="107"/>
    <d v="1899-12-30T01:00:00"/>
    <m/>
    <m/>
    <m/>
  </r>
  <r>
    <x v="10"/>
    <x v="4"/>
    <x v="7"/>
    <n v="107"/>
    <d v="1899-12-30T00:30:00"/>
    <m/>
    <m/>
    <m/>
  </r>
  <r>
    <x v="11"/>
    <x v="0"/>
    <x v="0"/>
    <n v="106"/>
    <d v="1899-12-30T01:00:00"/>
    <m/>
    <m/>
    <m/>
  </r>
  <r>
    <x v="11"/>
    <x v="4"/>
    <x v="7"/>
    <n v="106"/>
    <d v="1899-12-30T00:30:00"/>
    <m/>
    <m/>
    <m/>
  </r>
  <r>
    <x v="11"/>
    <x v="1"/>
    <x v="1"/>
    <n v="106"/>
    <d v="1899-12-30T01:00:00"/>
    <m/>
    <m/>
    <m/>
  </r>
  <r>
    <x v="11"/>
    <x v="1"/>
    <x v="5"/>
    <n v="106"/>
    <d v="1899-12-30T01:30:00"/>
    <m/>
    <m/>
    <m/>
  </r>
  <r>
    <x v="11"/>
    <x v="5"/>
    <x v="8"/>
    <n v="106"/>
    <d v="1899-12-30T01:04:00"/>
    <m/>
    <d v="1899-12-30T19:41:00"/>
    <d v="1899-12-30T20:45:00"/>
  </r>
  <r>
    <x v="12"/>
    <x v="0"/>
    <x v="0"/>
    <n v="105"/>
    <d v="1899-12-30T01:10:00"/>
    <m/>
    <m/>
    <m/>
  </r>
  <r>
    <x v="12"/>
    <x v="5"/>
    <x v="9"/>
    <n v="105"/>
    <d v="1899-12-30T00:30:00"/>
    <m/>
    <m/>
    <m/>
  </r>
  <r>
    <x v="12"/>
    <x v="2"/>
    <x v="10"/>
    <n v="105"/>
    <d v="1899-12-30T01:00:00"/>
    <m/>
    <m/>
    <m/>
  </r>
  <r>
    <x v="13"/>
    <x v="0"/>
    <x v="0"/>
    <n v="104"/>
    <d v="1899-12-30T01:00:00"/>
    <m/>
    <m/>
    <m/>
  </r>
  <r>
    <x v="13"/>
    <x v="4"/>
    <x v="7"/>
    <n v="104"/>
    <d v="1899-12-30T00:45:00"/>
    <m/>
    <m/>
    <m/>
  </r>
  <r>
    <x v="13"/>
    <x v="2"/>
    <x v="10"/>
    <n v="104"/>
    <d v="1899-12-30T01:00:00"/>
    <m/>
    <m/>
    <m/>
  </r>
  <r>
    <x v="14"/>
    <x v="5"/>
    <x v="9"/>
    <n v="103"/>
    <d v="1899-12-30T00:30:00"/>
    <m/>
    <m/>
    <m/>
  </r>
  <r>
    <x v="14"/>
    <x v="2"/>
    <x v="10"/>
    <n v="103"/>
    <d v="1899-12-30T02:30:00"/>
    <m/>
    <m/>
    <m/>
  </r>
  <r>
    <x v="15"/>
    <x v="1"/>
    <x v="1"/>
    <n v="102"/>
    <d v="1899-12-30T00:45:00"/>
    <m/>
    <m/>
    <m/>
  </r>
  <r>
    <x v="15"/>
    <x v="1"/>
    <x v="5"/>
    <n v="102"/>
    <d v="1899-12-30T00:30:00"/>
    <m/>
    <m/>
    <m/>
  </r>
  <r>
    <x v="15"/>
    <x v="5"/>
    <x v="9"/>
    <n v="102"/>
    <d v="1899-12-30T00:45:00"/>
    <s v="初步了解mathematica"/>
    <m/>
    <m/>
  </r>
  <r>
    <x v="16"/>
    <x v="2"/>
    <x v="10"/>
    <n v="101"/>
    <d v="1899-12-30T01:00:00"/>
    <m/>
    <m/>
    <m/>
  </r>
  <r>
    <x v="16"/>
    <x v="0"/>
    <x v="0"/>
    <n v="101"/>
    <d v="1899-12-30T01:00:00"/>
    <m/>
    <m/>
    <m/>
  </r>
  <r>
    <x v="16"/>
    <x v="4"/>
    <x v="7"/>
    <n v="101"/>
    <d v="1899-12-30T00:30:00"/>
    <m/>
    <m/>
    <m/>
  </r>
  <r>
    <x v="16"/>
    <x v="6"/>
    <x v="11"/>
    <n v="101"/>
    <d v="1899-12-30T01:15:00"/>
    <m/>
    <m/>
    <m/>
  </r>
  <r>
    <x v="17"/>
    <x v="0"/>
    <x v="0"/>
    <n v="100"/>
    <d v="1899-12-30T00:30:00"/>
    <s v="第24讲是宏表函数，觉得并没有什么用，没怎么看"/>
    <m/>
    <m/>
  </r>
  <r>
    <x v="17"/>
    <x v="4"/>
    <x v="7"/>
    <n v="100"/>
    <d v="1899-12-30T00:30:00"/>
    <m/>
    <m/>
    <m/>
  </r>
  <r>
    <x v="18"/>
    <x v="0"/>
    <x v="12"/>
    <n v="99"/>
    <d v="1899-12-30T01:00:00"/>
    <m/>
    <m/>
    <m/>
  </r>
  <r>
    <x v="18"/>
    <x v="6"/>
    <x v="11"/>
    <n v="99"/>
    <d v="1899-12-30T00:45:00"/>
    <m/>
    <m/>
    <m/>
  </r>
  <r>
    <x v="19"/>
    <x v="6"/>
    <x v="11"/>
    <n v="98"/>
    <d v="1899-12-30T01:00:00"/>
    <m/>
    <m/>
    <m/>
  </r>
  <r>
    <x v="19"/>
    <x v="4"/>
    <x v="7"/>
    <n v="98"/>
    <d v="1899-12-30T00:40:00"/>
    <m/>
    <m/>
    <m/>
  </r>
  <r>
    <x v="20"/>
    <x v="6"/>
    <x v="11"/>
    <n v="97"/>
    <d v="1899-12-30T01:10:00"/>
    <m/>
    <m/>
    <m/>
  </r>
  <r>
    <x v="20"/>
    <x v="4"/>
    <x v="7"/>
    <n v="97"/>
    <d v="1899-12-30T00:30:00"/>
    <m/>
    <m/>
    <m/>
  </r>
  <r>
    <x v="21"/>
    <x v="2"/>
    <x v="13"/>
    <n v="95"/>
    <d v="1899-12-30T02:00:00"/>
    <m/>
    <m/>
    <m/>
  </r>
  <r>
    <x v="22"/>
    <x v="4"/>
    <x v="7"/>
    <n v="94"/>
    <d v="1899-12-30T00:30:00"/>
    <m/>
    <m/>
    <m/>
  </r>
  <r>
    <x v="22"/>
    <x v="0"/>
    <x v="12"/>
    <n v="94"/>
    <d v="1899-12-30T01:00:00"/>
    <m/>
    <m/>
    <m/>
  </r>
  <r>
    <x v="22"/>
    <x v="6"/>
    <x v="11"/>
    <n v="94"/>
    <d v="1899-12-30T00:30:00"/>
    <m/>
    <m/>
    <m/>
  </r>
  <r>
    <x v="22"/>
    <x v="2"/>
    <x v="13"/>
    <n v="94"/>
    <d v="1899-12-30T01:00:00"/>
    <m/>
    <m/>
    <m/>
  </r>
  <r>
    <x v="22"/>
    <x v="2"/>
    <x v="13"/>
    <n v="94"/>
    <d v="1899-12-30T00:30:00"/>
    <m/>
    <m/>
    <m/>
  </r>
  <r>
    <x v="23"/>
    <x v="6"/>
    <x v="11"/>
    <n v="93"/>
    <d v="1899-12-30T00:45:00"/>
    <m/>
    <m/>
    <m/>
  </r>
  <r>
    <x v="23"/>
    <x v="4"/>
    <x v="7"/>
    <n v="93"/>
    <d v="1899-12-30T00:30:00"/>
    <m/>
    <m/>
    <m/>
  </r>
  <r>
    <x v="23"/>
    <x v="0"/>
    <x v="12"/>
    <n v="93"/>
    <d v="1899-12-30T00:45:00"/>
    <m/>
    <m/>
    <m/>
  </r>
  <r>
    <x v="23"/>
    <x v="2"/>
    <x v="14"/>
    <n v="93"/>
    <d v="1899-12-30T01:00:00"/>
    <m/>
    <m/>
    <m/>
  </r>
  <r>
    <x v="24"/>
    <x v="6"/>
    <x v="11"/>
    <n v="92"/>
    <d v="1899-12-30T00:45:00"/>
    <m/>
    <m/>
    <m/>
  </r>
  <r>
    <x v="24"/>
    <x v="4"/>
    <x v="7"/>
    <n v="92"/>
    <d v="1899-12-30T00:30:00"/>
    <m/>
    <m/>
    <m/>
  </r>
  <r>
    <x v="24"/>
    <x v="2"/>
    <x v="13"/>
    <n v="92"/>
    <d v="1899-12-30T00:30:00"/>
    <m/>
    <m/>
    <m/>
  </r>
  <r>
    <x v="25"/>
    <x v="2"/>
    <x v="13"/>
    <n v="91"/>
    <d v="1899-12-30T01:15:00"/>
    <m/>
    <m/>
    <m/>
  </r>
  <r>
    <x v="25"/>
    <x v="6"/>
    <x v="11"/>
    <n v="91"/>
    <d v="1899-12-30T00:30:00"/>
    <m/>
    <m/>
    <m/>
  </r>
  <r>
    <x v="25"/>
    <x v="5"/>
    <x v="9"/>
    <n v="91"/>
    <d v="1899-12-30T00:45:00"/>
    <m/>
    <m/>
    <m/>
  </r>
  <r>
    <x v="25"/>
    <x v="4"/>
    <x v="7"/>
    <n v="91"/>
    <d v="1899-12-30T00:45:00"/>
    <m/>
    <m/>
    <m/>
  </r>
  <r>
    <x v="25"/>
    <x v="0"/>
    <x v="12"/>
    <n v="91"/>
    <d v="1899-12-30T01:00:00"/>
    <m/>
    <m/>
    <m/>
  </r>
  <r>
    <x v="25"/>
    <x v="2"/>
    <x v="14"/>
    <n v="91"/>
    <d v="1899-12-30T02:00:00"/>
    <m/>
    <m/>
    <m/>
  </r>
  <r>
    <x v="26"/>
    <x v="6"/>
    <x v="11"/>
    <n v="90"/>
    <d v="1899-12-30T00:50:00"/>
    <m/>
    <m/>
    <m/>
  </r>
  <r>
    <x v="26"/>
    <x v="4"/>
    <x v="7"/>
    <n v="90"/>
    <d v="1899-12-30T00:40:00"/>
    <m/>
    <m/>
    <m/>
  </r>
  <r>
    <x v="26"/>
    <x v="2"/>
    <x v="10"/>
    <n v="90"/>
    <d v="1899-12-30T00:40:00"/>
    <m/>
    <m/>
    <m/>
  </r>
  <r>
    <x v="26"/>
    <x v="0"/>
    <x v="12"/>
    <n v="90"/>
    <d v="1899-12-30T01:00:00"/>
    <m/>
    <m/>
    <m/>
  </r>
  <r>
    <x v="26"/>
    <x v="2"/>
    <x v="14"/>
    <n v="90"/>
    <d v="1899-12-30T02:00:00"/>
    <m/>
    <m/>
    <m/>
  </r>
  <r>
    <x v="27"/>
    <x v="2"/>
    <x v="14"/>
    <n v="89"/>
    <d v="1899-12-30T01:25:00"/>
    <s v="学习起来比较困难，搁浅"/>
    <m/>
    <m/>
  </r>
  <r>
    <x v="28"/>
    <x v="2"/>
    <x v="13"/>
    <n v="88"/>
    <d v="1899-12-30T00:30:00"/>
    <m/>
    <m/>
    <m/>
  </r>
  <r>
    <x v="28"/>
    <x v="4"/>
    <x v="7"/>
    <n v="88"/>
    <d v="1899-12-30T00:30:00"/>
    <m/>
    <m/>
    <m/>
  </r>
  <r>
    <x v="29"/>
    <x v="4"/>
    <x v="7"/>
    <n v="87"/>
    <d v="1899-12-30T00:35:00"/>
    <m/>
    <m/>
    <m/>
  </r>
  <r>
    <x v="29"/>
    <x v="0"/>
    <x v="12"/>
    <n v="87"/>
    <d v="1899-12-30T00:30:00"/>
    <m/>
    <m/>
    <m/>
  </r>
  <r>
    <x v="29"/>
    <x v="2"/>
    <x v="13"/>
    <n v="87"/>
    <d v="1899-12-30T00:45:00"/>
    <m/>
    <m/>
    <m/>
  </r>
  <r>
    <x v="30"/>
    <x v="4"/>
    <x v="7"/>
    <n v="86"/>
    <d v="1899-12-30T00:45:00"/>
    <m/>
    <m/>
    <m/>
  </r>
  <r>
    <x v="30"/>
    <x v="6"/>
    <x v="11"/>
    <n v="86"/>
    <d v="1899-12-30T01:00:00"/>
    <m/>
    <m/>
    <m/>
  </r>
  <r>
    <x v="31"/>
    <x v="4"/>
    <x v="7"/>
    <n v="85"/>
    <d v="1899-12-30T00:45:00"/>
    <m/>
    <m/>
    <m/>
  </r>
  <r>
    <x v="31"/>
    <x v="6"/>
    <x v="11"/>
    <n v="85"/>
    <d v="1899-12-30T01:00:00"/>
    <m/>
    <m/>
    <m/>
  </r>
  <r>
    <x v="32"/>
    <x v="6"/>
    <x v="11"/>
    <n v="84"/>
    <d v="1899-12-30T01:15:00"/>
    <m/>
    <m/>
    <m/>
  </r>
  <r>
    <x v="32"/>
    <x v="0"/>
    <x v="12"/>
    <n v="84"/>
    <d v="1899-12-30T01:30:00"/>
    <m/>
    <m/>
    <m/>
  </r>
  <r>
    <x v="32"/>
    <x v="5"/>
    <x v="9"/>
    <n v="84"/>
    <d v="1899-12-30T00:30:00"/>
    <m/>
    <m/>
    <m/>
  </r>
  <r>
    <x v="33"/>
    <x v="4"/>
    <x v="7"/>
    <n v="83"/>
    <d v="1899-12-30T00:45:00"/>
    <m/>
    <m/>
    <m/>
  </r>
  <r>
    <x v="34"/>
    <x v="5"/>
    <x v="8"/>
    <n v="81"/>
    <d v="1899-12-30T01:08:00"/>
    <m/>
    <d v="1899-12-30T11:02:00"/>
    <d v="1899-12-30T12:10:00"/>
  </r>
  <r>
    <x v="34"/>
    <x v="5"/>
    <x v="8"/>
    <n v="81"/>
    <d v="1899-12-30T01:00:00"/>
    <m/>
    <m/>
    <m/>
  </r>
  <r>
    <x v="35"/>
    <x v="4"/>
    <x v="7"/>
    <n v="80"/>
    <d v="1899-12-30T00:40:00"/>
    <m/>
    <m/>
    <m/>
  </r>
  <r>
    <x v="35"/>
    <x v="6"/>
    <x v="11"/>
    <n v="80"/>
    <d v="1899-12-30T01:00:00"/>
    <m/>
    <m/>
    <m/>
  </r>
  <r>
    <x v="36"/>
    <x v="6"/>
    <x v="11"/>
    <n v="79"/>
    <d v="1899-12-30T01:00:00"/>
    <m/>
    <m/>
    <m/>
  </r>
  <r>
    <x v="36"/>
    <x v="2"/>
    <x v="15"/>
    <n v="79"/>
    <d v="1899-12-30T01:00:00"/>
    <m/>
    <m/>
    <m/>
  </r>
  <r>
    <x v="36"/>
    <x v="4"/>
    <x v="7"/>
    <n v="79"/>
    <d v="1899-12-30T00:30:00"/>
    <m/>
    <m/>
    <m/>
  </r>
  <r>
    <x v="36"/>
    <x v="2"/>
    <x v="13"/>
    <n v="79"/>
    <d v="1899-12-30T02:00:00"/>
    <s v="9.学习OS SCHED  PY2EXE库"/>
    <m/>
    <m/>
  </r>
  <r>
    <x v="37"/>
    <x v="0"/>
    <x v="12"/>
    <n v="78"/>
    <d v="1899-12-30T01:00:00"/>
    <m/>
    <m/>
    <m/>
  </r>
  <r>
    <x v="37"/>
    <x v="4"/>
    <x v="7"/>
    <n v="78"/>
    <d v="1899-12-30T00:35:00"/>
    <m/>
    <m/>
    <m/>
  </r>
  <r>
    <x v="37"/>
    <x v="6"/>
    <x v="11"/>
    <n v="78"/>
    <d v="1899-12-30T01:00:00"/>
    <m/>
    <m/>
    <m/>
  </r>
  <r>
    <x v="37"/>
    <x v="2"/>
    <x v="13"/>
    <n v="78"/>
    <d v="1899-12-30T01:30:00"/>
    <m/>
    <m/>
    <m/>
  </r>
  <r>
    <x v="38"/>
    <x v="6"/>
    <x v="11"/>
    <n v="77"/>
    <d v="1899-12-30T00:40:00"/>
    <m/>
    <m/>
    <m/>
  </r>
  <r>
    <x v="38"/>
    <x v="4"/>
    <x v="7"/>
    <n v="77"/>
    <d v="1899-12-30T00:45:00"/>
    <m/>
    <m/>
    <m/>
  </r>
  <r>
    <x v="38"/>
    <x v="0"/>
    <x v="12"/>
    <n v="77"/>
    <d v="1899-12-30T00:30:00"/>
    <m/>
    <m/>
    <m/>
  </r>
  <r>
    <x v="39"/>
    <x v="6"/>
    <x v="11"/>
    <n v="76"/>
    <d v="1899-12-30T00:30:00"/>
    <m/>
    <m/>
    <m/>
  </r>
  <r>
    <x v="39"/>
    <x v="4"/>
    <x v="7"/>
    <n v="76"/>
    <d v="1899-12-30T00:30:00"/>
    <m/>
    <m/>
    <m/>
  </r>
  <r>
    <x v="39"/>
    <x v="0"/>
    <x v="12"/>
    <n v="76"/>
    <d v="1899-12-30T00:45:00"/>
    <m/>
    <m/>
    <m/>
  </r>
  <r>
    <x v="40"/>
    <x v="2"/>
    <x v="16"/>
    <n v="74"/>
    <d v="1899-12-30T04:00:00"/>
    <s v="C6 Data loading, storage, and file formats "/>
    <m/>
    <m/>
  </r>
  <r>
    <x v="41"/>
    <x v="2"/>
    <x v="16"/>
    <n v="73"/>
    <d v="1899-12-30T02:30:00"/>
    <m/>
    <m/>
    <m/>
  </r>
  <r>
    <x v="41"/>
    <x v="4"/>
    <x v="7"/>
    <n v="73"/>
    <d v="1899-12-30T00:30:00"/>
    <m/>
    <m/>
    <m/>
  </r>
  <r>
    <x v="42"/>
    <x v="4"/>
    <x v="7"/>
    <n v="72"/>
    <d v="1899-12-30T00:30:00"/>
    <m/>
    <m/>
    <m/>
  </r>
  <r>
    <x v="43"/>
    <x v="2"/>
    <x v="16"/>
    <n v="71"/>
    <d v="1899-12-30T02:30:00"/>
    <s v="8.matplotlib"/>
    <m/>
    <m/>
  </r>
  <r>
    <x v="44"/>
    <x v="2"/>
    <x v="16"/>
    <n v="70"/>
    <d v="1899-12-30T02:30:00"/>
    <s v="8.matplotlib"/>
    <m/>
    <m/>
  </r>
  <r>
    <x v="45"/>
    <x v="4"/>
    <x v="7"/>
    <n v="66"/>
    <d v="1899-12-30T00:45:00"/>
    <m/>
    <m/>
    <m/>
  </r>
  <r>
    <x v="45"/>
    <x v="2"/>
    <x v="2"/>
    <n v="66"/>
    <m/>
    <s v="p14"/>
    <m/>
    <m/>
  </r>
  <r>
    <x v="46"/>
    <x v="4"/>
    <x v="7"/>
    <n v="65"/>
    <d v="1899-12-30T00:45:00"/>
    <m/>
    <m/>
    <m/>
  </r>
  <r>
    <x v="46"/>
    <x v="2"/>
    <x v="17"/>
    <n v="65"/>
    <d v="1899-12-30T05:00:00"/>
    <m/>
    <m/>
    <m/>
  </r>
  <r>
    <x v="47"/>
    <x v="4"/>
    <x v="7"/>
    <n v="64"/>
    <d v="1899-12-30T00:30:00"/>
    <m/>
    <m/>
    <m/>
  </r>
  <r>
    <x v="47"/>
    <x v="6"/>
    <x v="11"/>
    <n v="64"/>
    <d v="1899-12-30T01:00:00"/>
    <m/>
    <m/>
    <m/>
  </r>
  <r>
    <x v="48"/>
    <x v="6"/>
    <x v="11"/>
    <n v="62"/>
    <d v="1899-12-30T00:45:00"/>
    <m/>
    <m/>
    <m/>
  </r>
  <r>
    <x v="49"/>
    <x v="7"/>
    <x v="18"/>
    <n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6" firstHeaderRow="1" firstDataRow="2" firstDataCol="2"/>
  <pivotFields count="8">
    <pivotField axis="axisCol" compact="0" numFmtId="181" outline="0" showAll="0" sortType="descending">
      <items count="51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x="16"/>
        <item x="17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2">
    <i>
      <x v="8"/>
      <x v="14"/>
    </i>
    <i t="grand">
      <x/>
    </i>
  </rowItems>
  <colFields count="1">
    <field x="0"/>
  </colFields>
  <colItems count="1">
    <i>
      <x/>
    </i>
  </colItems>
  <dataFields count="1">
    <dataField name="求和项:时长" fld="4" baseField="0" baseItem="3" numFmtId="176"/>
  </dataFields>
  <formats count="24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0" type="button" dataOnly="0" labelOnly="1" outline="0" axis="axisCol" fieldPosition="0"/>
    </format>
    <format dxfId="8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3">
      <pivotArea dataOnly="0" labelOnly="1" grandCol="1" outline="0" fieldPosition="0"/>
    </format>
    <format dxfId="82">
      <pivotArea field="0" type="button" dataOnly="0" labelOnly="1" outline="0" axis="axisCol" fieldPosition="0"/>
    </format>
    <format dxfId="8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dataOnly="0" labelOnly="1" grandRow="1" outline="0" fieldPosition="0"/>
    </format>
    <format dxfId="76">
      <pivotArea field="2" type="button" dataOnly="0" labelOnly="1" outline="0" axis="axisRow" fieldPosition="1"/>
    </format>
    <format dxfId="75">
      <pivotArea dataOnly="0" labelOnly="1" fieldPosition="0">
        <references count="1">
          <reference field="2" count="1">
            <x v="0"/>
          </reference>
        </references>
      </pivotArea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field="2" type="button" dataOnly="0" labelOnly="1" outline="0" axis="axisRow" fieldPosition="1"/>
    </format>
    <format dxfId="72">
      <pivotArea dataOnly="0" labelOnly="1" fieldPosition="0">
        <references count="1">
          <reference field="2" count="1">
            <x v="15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0">
      <pivotArea field="0" type="button" dataOnly="0" labelOnly="1" outline="0" axis="axisCol" fieldPosition="0"/>
    </format>
    <format dxfId="69">
      <pivotArea dataOnly="0" labelOnly="1" fieldPosition="0">
        <references count="1">
          <reference field="0" count="1">
            <x v="20"/>
          </reference>
        </references>
      </pivotArea>
    </format>
    <format dxfId="68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67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66">
      <pivotArea dataOnly="0" labelOnly="1" fieldPosition="0">
        <references count="1">
          <reference field="0" count="1">
            <x v="20"/>
          </reference>
        </references>
      </pivotArea>
    </format>
    <format dxfId="6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14" maxVal="4242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87:I94" firstHeaderRow="1" firstDataRow="2" firstDataCol="1"/>
  <pivotFields count="5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13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177" showAll="0"/>
    <pivotField numFmtId="180" showAll="0" defaultSubtotal="0"/>
    <pivotField numFmtId="183" showAll="0" defaultSubtotal="0"/>
  </pivotFields>
  <rowFields count="1">
    <field x="1"/>
  </rowFields>
  <rowItems count="6">
    <i>
      <x/>
    </i>
    <i>
      <x v="3"/>
    </i>
    <i>
      <x v="6"/>
    </i>
    <i>
      <x v="10"/>
    </i>
    <i>
      <x v="11"/>
    </i>
    <i t="grand">
      <x/>
    </i>
  </rowItems>
  <colFields count="1">
    <field x="0"/>
  </colFields>
  <colItems count="2">
    <i>
      <x v="236"/>
    </i>
    <i t="grand">
      <x/>
    </i>
  </colItems>
  <dataFields count="1">
    <dataField name="每周运动" fld="2" subtotal="count" baseField="1" baseItem="3" numFmtId="177"/>
  </dataFields>
  <formats count="1">
    <format dxfId="4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14" maxVal="4242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63" totalsRowDxfId="62"/>
    <tableColumn id="8" name="分类" dataDxfId="61" totalsRowDxfId="60">
      <calculatedColumnFormula>INDEX(学习总体!A:A,MATCH(表2[[#This Row],[科目]],学习总体!C:C,0))</calculatedColumnFormula>
    </tableColumn>
    <tableColumn id="2" name="科目" totalsRowDxfId="59"/>
    <tableColumn id="3" name="距离今天" dataDxfId="58" totalsRowDxfId="57">
      <calculatedColumnFormula>TODAY()-A2</calculatedColumnFormula>
    </tableColumn>
    <tableColumn id="4" name="时长" dataDxfId="56" totalsRowDxfId="55"/>
    <tableColumn id="5" name="备注" dataDxfId="54" totalsRowDxfId="53"/>
    <tableColumn id="6" name="开始时间" dataDxfId="52" totalsRowDxfId="51"/>
    <tableColumn id="7" name="结束时间" totalsRowFunction="count" dataDxfId="50" totalsRowDxfId="4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E109" totalsRowShown="0">
  <autoFilter ref="A1:E109"/>
  <tableColumns count="5">
    <tableColumn id="1" name="时间" dataDxfId="47"/>
    <tableColumn id="2" name="项目"/>
    <tableColumn id="4" name="次数/时长" dataDxfId="46"/>
    <tableColumn id="3" name="距离今天" dataDxfId="45">
      <calculatedColumnFormula>TODAY()-ROUNDDOWN(A2,0)</calculatedColumnFormula>
    </tableColumn>
    <tableColumn id="5" name="本日组数" dataDxfId="44">
      <calculatedColumnFormula>COUNTIFS(A:A,表1[[#This Row],[时间]],B:B,表1[[#This Row],[项目]])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7" bestFit="1" customWidth="1"/>
    <col min="2" max="2" width="17.5" style="28" bestFit="1" customWidth="1"/>
    <col min="3" max="3" width="20.375" style="29" customWidth="1"/>
    <col min="4" max="4" width="18.625" style="28" bestFit="1" customWidth="1"/>
    <col min="5" max="5" width="16.25" style="28" customWidth="1"/>
    <col min="6" max="7" width="13.125" style="28" customWidth="1"/>
    <col min="8" max="11" width="13.125" style="8" customWidth="1"/>
    <col min="12" max="16384" width="19.5" style="8"/>
  </cols>
  <sheetData>
    <row r="1" spans="1:11" x14ac:dyDescent="0.2">
      <c r="A1" s="12"/>
      <c r="B1" s="13"/>
      <c r="C1" s="14"/>
      <c r="D1" s="15"/>
      <c r="E1" s="8"/>
      <c r="F1" s="7"/>
      <c r="G1" s="7" t="s">
        <v>39</v>
      </c>
      <c r="H1" s="8" t="s">
        <v>40</v>
      </c>
    </row>
    <row r="2" spans="1:11" s="9" customFormat="1" x14ac:dyDescent="0.2">
      <c r="A2" s="16"/>
      <c r="B2" s="17"/>
      <c r="C2" s="18"/>
      <c r="D2" s="19"/>
      <c r="F2" s="9">
        <v>42306</v>
      </c>
      <c r="G2" s="9">
        <v>42364</v>
      </c>
      <c r="H2" s="9">
        <v>42408</v>
      </c>
      <c r="I2" s="9">
        <v>42468</v>
      </c>
      <c r="J2" s="9">
        <v>42546</v>
      </c>
      <c r="K2" s="9">
        <v>42728</v>
      </c>
    </row>
    <row r="3" spans="1:11" x14ac:dyDescent="0.2">
      <c r="A3" s="12"/>
      <c r="B3" s="13"/>
      <c r="C3" s="14"/>
      <c r="D3" s="15"/>
      <c r="E3" s="8"/>
      <c r="F3" s="7"/>
      <c r="G3" s="10">
        <f ca="1">G2-TODAY()</f>
        <v>-54</v>
      </c>
      <c r="H3" s="11">
        <f ca="1">H2-TODAY()</f>
        <v>-10</v>
      </c>
      <c r="I3" s="11">
        <f ca="1">I2-TODAY()</f>
        <v>50</v>
      </c>
      <c r="J3" s="11">
        <f ca="1">J2-TODAY()</f>
        <v>128</v>
      </c>
      <c r="K3" s="11">
        <f ca="1">K2-TODAY()</f>
        <v>310</v>
      </c>
    </row>
    <row r="4" spans="1:11" x14ac:dyDescent="0.2">
      <c r="A4" s="12"/>
      <c r="B4" s="13"/>
      <c r="C4" s="14"/>
      <c r="D4" s="15"/>
      <c r="E4" s="8"/>
      <c r="F4" s="8"/>
      <c r="G4" s="8"/>
    </row>
    <row r="5" spans="1:11" ht="66" x14ac:dyDescent="0.2">
      <c r="A5" s="12" t="s">
        <v>41</v>
      </c>
      <c r="B5" s="13" t="s">
        <v>54</v>
      </c>
      <c r="C5" s="20" t="s">
        <v>24</v>
      </c>
      <c r="D5" s="21" t="s">
        <v>14</v>
      </c>
      <c r="E5" s="8"/>
      <c r="F5" s="8"/>
      <c r="G5" s="8"/>
    </row>
    <row r="6" spans="1:11" x14ac:dyDescent="0.2">
      <c r="A6" s="12" t="s">
        <v>41</v>
      </c>
      <c r="B6" s="13" t="s">
        <v>64</v>
      </c>
      <c r="C6" s="14"/>
      <c r="D6" s="15"/>
      <c r="E6" s="8"/>
      <c r="F6" s="8"/>
      <c r="G6" s="8"/>
    </row>
    <row r="7" spans="1:11" x14ac:dyDescent="0.2">
      <c r="A7" s="12" t="s">
        <v>41</v>
      </c>
      <c r="B7" s="13" t="s">
        <v>65</v>
      </c>
      <c r="C7" s="14"/>
      <c r="D7" s="15"/>
      <c r="E7" s="8"/>
      <c r="F7" s="8"/>
      <c r="G7" s="8"/>
    </row>
    <row r="8" spans="1:11" x14ac:dyDescent="0.2">
      <c r="A8" s="12" t="s">
        <v>62</v>
      </c>
      <c r="B8" s="13" t="s">
        <v>55</v>
      </c>
      <c r="C8" s="14" t="s">
        <v>42</v>
      </c>
      <c r="D8" s="15"/>
      <c r="E8" s="8"/>
      <c r="F8" s="8"/>
      <c r="G8" s="8"/>
    </row>
    <row r="9" spans="1:11" x14ac:dyDescent="0.2">
      <c r="A9" s="12" t="s">
        <v>62</v>
      </c>
      <c r="B9" s="13" t="s">
        <v>56</v>
      </c>
      <c r="C9" s="14"/>
      <c r="D9" s="15"/>
      <c r="E9" s="8"/>
      <c r="F9" s="8"/>
      <c r="G9" s="8"/>
    </row>
    <row r="10" spans="1:11" x14ac:dyDescent="0.2">
      <c r="A10" s="12" t="s">
        <v>62</v>
      </c>
      <c r="B10" s="13" t="s">
        <v>57</v>
      </c>
      <c r="C10" s="13"/>
      <c r="D10" s="15"/>
      <c r="E10" s="8"/>
      <c r="F10" s="8"/>
      <c r="G10" s="8"/>
    </row>
    <row r="11" spans="1:11" ht="21" customHeight="1" x14ac:dyDescent="0.2">
      <c r="A11" s="12" t="s">
        <v>62</v>
      </c>
      <c r="B11" s="13" t="s">
        <v>59</v>
      </c>
      <c r="C11" s="20" t="s">
        <v>84</v>
      </c>
      <c r="D11" s="15"/>
      <c r="E11" s="8"/>
      <c r="F11" s="8"/>
      <c r="G11" s="8"/>
    </row>
    <row r="12" spans="1:11" ht="18.75" customHeight="1" x14ac:dyDescent="0.2">
      <c r="A12" s="12" t="s">
        <v>62</v>
      </c>
      <c r="B12" s="13" t="s">
        <v>60</v>
      </c>
      <c r="C12" s="20" t="s">
        <v>132</v>
      </c>
      <c r="D12" s="15"/>
      <c r="E12" s="8"/>
      <c r="F12" s="8"/>
      <c r="G12" s="8"/>
    </row>
    <row r="13" spans="1:11" ht="49.5" x14ac:dyDescent="0.2">
      <c r="A13" s="12" t="s">
        <v>62</v>
      </c>
      <c r="B13" s="13" t="s">
        <v>58</v>
      </c>
      <c r="C13" s="20" t="s">
        <v>133</v>
      </c>
      <c r="D13" s="15"/>
      <c r="E13" s="8"/>
      <c r="F13" s="8"/>
      <c r="G13" s="8"/>
    </row>
    <row r="14" spans="1:11" ht="33" x14ac:dyDescent="0.2">
      <c r="A14" s="12" t="s">
        <v>62</v>
      </c>
      <c r="B14" s="13" t="s">
        <v>61</v>
      </c>
      <c r="C14" s="20" t="s">
        <v>85</v>
      </c>
      <c r="D14" s="15"/>
      <c r="E14" s="8"/>
      <c r="F14" s="8"/>
      <c r="G14" s="8"/>
    </row>
    <row r="15" spans="1:11" x14ac:dyDescent="0.2">
      <c r="A15" s="12" t="s">
        <v>63</v>
      </c>
      <c r="B15" s="13" t="s">
        <v>66</v>
      </c>
      <c r="C15" s="14"/>
      <c r="D15" s="15"/>
      <c r="E15" s="8"/>
      <c r="F15" s="8"/>
      <c r="G15" s="8"/>
    </row>
    <row r="16" spans="1:11" x14ac:dyDescent="0.2">
      <c r="A16" s="12" t="s">
        <v>63</v>
      </c>
      <c r="B16" s="13" t="s">
        <v>67</v>
      </c>
      <c r="C16" s="14"/>
      <c r="D16" s="15"/>
      <c r="E16" s="8"/>
      <c r="F16" s="8"/>
      <c r="G16" s="8"/>
    </row>
    <row r="17" spans="1:7" x14ac:dyDescent="0.2">
      <c r="A17" s="12" t="s">
        <v>63</v>
      </c>
      <c r="B17" s="13" t="s">
        <v>68</v>
      </c>
      <c r="C17" s="14"/>
      <c r="D17" s="15"/>
      <c r="E17" s="8"/>
      <c r="F17" s="8"/>
      <c r="G17" s="8"/>
    </row>
    <row r="18" spans="1:7" x14ac:dyDescent="0.2">
      <c r="A18" s="12" t="s">
        <v>63</v>
      </c>
      <c r="B18" s="13" t="s">
        <v>69</v>
      </c>
      <c r="C18" s="14"/>
      <c r="D18" s="15"/>
      <c r="E18" s="8"/>
      <c r="F18" s="8"/>
      <c r="G18" s="8"/>
    </row>
    <row r="19" spans="1:7" x14ac:dyDescent="0.2">
      <c r="A19" s="12" t="s">
        <v>63</v>
      </c>
      <c r="B19" s="13" t="s">
        <v>70</v>
      </c>
      <c r="C19" s="14"/>
      <c r="D19" s="15"/>
      <c r="E19" s="8"/>
      <c r="F19" s="8"/>
      <c r="G19" s="8"/>
    </row>
    <row r="20" spans="1:7" x14ac:dyDescent="0.2">
      <c r="A20" s="23"/>
      <c r="B20" s="24"/>
      <c r="C20" s="25"/>
      <c r="D20" s="26"/>
      <c r="E20" s="8"/>
      <c r="F20" s="8"/>
      <c r="G20" s="8"/>
    </row>
    <row r="22" spans="1:7" x14ac:dyDescent="0.2">
      <c r="A22" s="27" t="s">
        <v>91</v>
      </c>
      <c r="B22" s="28" t="s">
        <v>111</v>
      </c>
      <c r="C22" s="29" t="s">
        <v>112</v>
      </c>
      <c r="D22" s="28" t="s">
        <v>113</v>
      </c>
    </row>
    <row r="23" spans="1:7" x14ac:dyDescent="0.2">
      <c r="A23" s="27" t="s">
        <v>92</v>
      </c>
      <c r="B23" s="28" t="s">
        <v>93</v>
      </c>
      <c r="C23" s="29" t="s">
        <v>96</v>
      </c>
      <c r="D23" s="28" t="s">
        <v>97</v>
      </c>
      <c r="E23" s="28" t="s">
        <v>98</v>
      </c>
    </row>
    <row r="24" spans="1:7" x14ac:dyDescent="0.2">
      <c r="B24" s="28" t="s">
        <v>94</v>
      </c>
    </row>
    <row r="25" spans="1:7" x14ac:dyDescent="0.2">
      <c r="B25" s="28" t="s">
        <v>95</v>
      </c>
    </row>
    <row r="26" spans="1:7" x14ac:dyDescent="0.2">
      <c r="B26" s="28" t="s">
        <v>99</v>
      </c>
    </row>
    <row r="29" spans="1:7" x14ac:dyDescent="0.2">
      <c r="A29" s="27" t="s">
        <v>123</v>
      </c>
    </row>
    <row r="30" spans="1:7" x14ac:dyDescent="0.2">
      <c r="A30" s="27" t="s">
        <v>124</v>
      </c>
    </row>
    <row r="31" spans="1:7" x14ac:dyDescent="0.2">
      <c r="A31" s="27" t="s">
        <v>125</v>
      </c>
    </row>
    <row r="33" spans="1:7" x14ac:dyDescent="0.2">
      <c r="A33" s="27" t="s">
        <v>126</v>
      </c>
      <c r="B33" s="28" t="s">
        <v>178</v>
      </c>
      <c r="F33" s="8"/>
      <c r="G33" s="8"/>
    </row>
    <row r="34" spans="1:7" x14ac:dyDescent="0.2">
      <c r="B34" s="28" t="s">
        <v>179</v>
      </c>
    </row>
    <row r="35" spans="1:7" x14ac:dyDescent="0.2">
      <c r="A35" s="28" t="s">
        <v>180</v>
      </c>
      <c r="B35" s="28" t="s">
        <v>181</v>
      </c>
      <c r="C35" s="8" t="s">
        <v>183</v>
      </c>
    </row>
    <row r="36" spans="1:7" x14ac:dyDescent="0.2">
      <c r="B36" s="28" t="s">
        <v>182</v>
      </c>
    </row>
    <row r="37" spans="1:7" x14ac:dyDescent="0.2">
      <c r="A37" s="27" t="s">
        <v>127</v>
      </c>
      <c r="G37" s="8"/>
    </row>
    <row r="38" spans="1:7" x14ac:dyDescent="0.2">
      <c r="A38" s="27" t="s">
        <v>128</v>
      </c>
    </row>
  </sheetData>
  <phoneticPr fontId="4" type="noConversion"/>
  <conditionalFormatting sqref="A1:D21 A22 A23:D29 A30 A31:D32 A33:A34 C33:D34 C36:D36 A36 A37:D1048576">
    <cfRule type="expression" dxfId="18" priority="1">
      <formula>$A1="graduate"</formula>
    </cfRule>
    <cfRule type="expression" dxfId="17" priority="2">
      <formula>$A1="CS"</formula>
    </cfRule>
    <cfRule type="expression" dxfId="16" priority="3">
      <formula>$A1="python"</formula>
    </cfRule>
  </conditionalFormatting>
  <conditionalFormatting sqref="B22:D22">
    <cfRule type="expression" dxfId="15" priority="13">
      <formula>$A30="graduate"</formula>
    </cfRule>
    <cfRule type="expression" dxfId="14" priority="14">
      <formula>$A30="CS"</formula>
    </cfRule>
    <cfRule type="expression" dxfId="13" priority="15">
      <formula>$A30="python"</formula>
    </cfRule>
  </conditionalFormatting>
  <conditionalFormatting sqref="D35">
    <cfRule type="expression" dxfId="12" priority="19">
      <formula>#REF!="graduate"</formula>
    </cfRule>
    <cfRule type="expression" dxfId="11" priority="20">
      <formula>#REF!="CS"</formula>
    </cfRule>
    <cfRule type="expression" dxfId="10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workbookViewId="0">
      <selection activeCell="C13" sqref="C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3" bestFit="1" customWidth="1"/>
    <col min="5" max="5" width="9.5" style="4" customWidth="1"/>
    <col min="6" max="6" width="9" style="31"/>
    <col min="7" max="7" width="11.25" style="30" bestFit="1" customWidth="1"/>
    <col min="8" max="16384" width="9" style="3"/>
  </cols>
  <sheetData>
    <row r="1" spans="1:7" x14ac:dyDescent="0.2">
      <c r="A1" s="5" t="s">
        <v>4</v>
      </c>
      <c r="B1" s="3" t="s">
        <v>43</v>
      </c>
      <c r="C1" s="6" t="s">
        <v>5</v>
      </c>
      <c r="D1" s="62" t="s">
        <v>6</v>
      </c>
      <c r="E1" s="4" t="s">
        <v>35</v>
      </c>
      <c r="F1" s="31" t="s">
        <v>100</v>
      </c>
      <c r="G1" s="30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63">
        <v>1</v>
      </c>
      <c r="E2" s="4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63">
        <v>1</v>
      </c>
      <c r="E3" s="4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63">
        <v>1</v>
      </c>
      <c r="E4" s="4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63">
        <v>1</v>
      </c>
      <c r="E5" s="4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63">
        <v>1</v>
      </c>
      <c r="E6" s="4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63">
        <v>1</v>
      </c>
      <c r="E7" s="4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63">
        <v>1</v>
      </c>
      <c r="E8" s="4">
        <f>SUMIF(学习记录!C:C,C8,学习记录!E:E)</f>
        <v>0.17708333333333331</v>
      </c>
      <c r="F8" s="31">
        <v>1</v>
      </c>
      <c r="G8" s="30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63">
        <v>1</v>
      </c>
      <c r="E9" s="4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63">
        <v>1</v>
      </c>
      <c r="E10" s="4">
        <f>SUMIF(学习记录!C:C,C10,学习记录!E:E)</f>
        <v>0.12847222222222224</v>
      </c>
      <c r="F10" s="31">
        <v>1.25</v>
      </c>
      <c r="G10" s="30">
        <f>E10/F10</f>
        <v>0.10277777777777779</v>
      </c>
    </row>
    <row r="11" spans="1:7" x14ac:dyDescent="0.2">
      <c r="A11" s="2" t="s">
        <v>103</v>
      </c>
      <c r="C11" s="53" t="s">
        <v>108</v>
      </c>
      <c r="D11" s="63">
        <v>1</v>
      </c>
      <c r="E11" s="4">
        <f>SUMIF(学习记录!C:C,C11,学习记录!E:E)</f>
        <v>0.12499999999999999</v>
      </c>
    </row>
    <row r="12" spans="1:7" x14ac:dyDescent="0.2">
      <c r="A12" s="5" t="s">
        <v>9</v>
      </c>
      <c r="B12" s="3" t="s">
        <v>45</v>
      </c>
      <c r="C12" s="5" t="s">
        <v>10</v>
      </c>
      <c r="D12" s="63">
        <v>1</v>
      </c>
      <c r="E12" s="4">
        <f>SUMIF(学习记录!C:C,C12,学习记录!E:E)</f>
        <v>0.100694444444444</v>
      </c>
    </row>
    <row r="13" spans="1:7" x14ac:dyDescent="0.2">
      <c r="A13" s="2" t="s">
        <v>172</v>
      </c>
      <c r="C13" s="22" t="s">
        <v>174</v>
      </c>
      <c r="D13" s="63">
        <v>1</v>
      </c>
      <c r="E13" s="4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63">
        <v>2</v>
      </c>
      <c r="E14" s="4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63">
        <v>2</v>
      </c>
      <c r="E15" s="4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63">
        <v>2</v>
      </c>
      <c r="E16" s="4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62">
        <v>2</v>
      </c>
      <c r="E17" s="4">
        <f>SUMIF(学习记录!C:C,C17,学习记录!E:E)</f>
        <v>0</v>
      </c>
    </row>
    <row r="18" spans="1:5" x14ac:dyDescent="0.2">
      <c r="A18" s="2" t="s">
        <v>103</v>
      </c>
      <c r="C18" s="22" t="s">
        <v>107</v>
      </c>
      <c r="D18" s="63">
        <v>2</v>
      </c>
      <c r="E18" s="4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63">
        <v>2</v>
      </c>
      <c r="E19" s="4">
        <f>SUMIF(学习记录!C:C,C19,学习记录!E:E)</f>
        <v>0</v>
      </c>
    </row>
    <row r="20" spans="1:5" x14ac:dyDescent="0.2">
      <c r="A20" s="2" t="s">
        <v>89</v>
      </c>
      <c r="C20" s="22" t="s">
        <v>90</v>
      </c>
      <c r="D20" s="63">
        <v>2</v>
      </c>
      <c r="E20" s="4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63">
        <v>2</v>
      </c>
      <c r="E21" s="4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63">
        <v>2</v>
      </c>
      <c r="E22" s="4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63">
        <v>2</v>
      </c>
      <c r="E23" s="4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63">
        <v>2</v>
      </c>
      <c r="E24" s="4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63">
        <v>2</v>
      </c>
      <c r="E25" s="4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63">
        <v>2</v>
      </c>
      <c r="E26" s="4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63">
        <v>2</v>
      </c>
      <c r="E27" s="4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63">
        <v>2</v>
      </c>
      <c r="E28" s="4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63">
        <v>3</v>
      </c>
      <c r="E29" s="4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63">
        <v>3</v>
      </c>
      <c r="E30" s="4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63">
        <v>3</v>
      </c>
      <c r="E31" s="4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63">
        <v>3</v>
      </c>
      <c r="E32" s="4">
        <f>SUMIF(学习记录!C:C,C32,学习记录!E:E)</f>
        <v>0</v>
      </c>
    </row>
    <row r="33" spans="1:7" x14ac:dyDescent="0.2">
      <c r="A33" s="5" t="s">
        <v>21</v>
      </c>
      <c r="B33" s="3" t="s">
        <v>73</v>
      </c>
      <c r="C33" s="6" t="s">
        <v>22</v>
      </c>
      <c r="D33" s="63">
        <v>5</v>
      </c>
      <c r="E33" s="4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63">
        <v>100</v>
      </c>
      <c r="E34" s="4">
        <f>SUMIF(学习记录!C:C,C34,学习记录!E:E)</f>
        <v>0.4965277777777779</v>
      </c>
      <c r="F34" s="31">
        <v>0.49652777777777773</v>
      </c>
      <c r="G34" s="30">
        <f>E34/F34</f>
        <v>1.0000000000000004</v>
      </c>
    </row>
    <row r="35" spans="1:7" x14ac:dyDescent="0.2">
      <c r="A35" s="2" t="s">
        <v>129</v>
      </c>
      <c r="C35" s="3" t="s">
        <v>131</v>
      </c>
      <c r="D35" s="62">
        <v>100</v>
      </c>
      <c r="E35" s="4">
        <f>SUMIF(学习记录!C:C,C35,学习记录!E:E)</f>
        <v>0.375</v>
      </c>
      <c r="F35" s="31">
        <v>0.58333333333333337</v>
      </c>
      <c r="G35" s="30">
        <f>E35/F35</f>
        <v>0.64285714285714279</v>
      </c>
    </row>
    <row r="36" spans="1:7" x14ac:dyDescent="0.2">
      <c r="A36" s="2" t="s">
        <v>188</v>
      </c>
      <c r="C36" s="3" t="s">
        <v>189</v>
      </c>
      <c r="D36" s="63">
        <v>2016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8"/>
  <sheetViews>
    <sheetView workbookViewId="0">
      <selection activeCell="C7" sqref="C7"/>
    </sheetView>
  </sheetViews>
  <sheetFormatPr defaultRowHeight="14.25" x14ac:dyDescent="0.2"/>
  <cols>
    <col min="3" max="3" width="9" style="6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7" t="s">
        <v>134</v>
      </c>
      <c r="B1" s="37" t="s">
        <v>135</v>
      </c>
      <c r="C1" s="60" t="s">
        <v>148</v>
      </c>
    </row>
    <row r="2" spans="1:6" x14ac:dyDescent="0.2">
      <c r="A2" s="37"/>
      <c r="B2" s="37"/>
    </row>
    <row r="3" spans="1:6" x14ac:dyDescent="0.2">
      <c r="A3" s="37"/>
      <c r="B3" s="37" t="s">
        <v>141</v>
      </c>
      <c r="C3" s="60">
        <v>1</v>
      </c>
    </row>
    <row r="4" spans="1:6" x14ac:dyDescent="0.2">
      <c r="B4" t="s">
        <v>137</v>
      </c>
      <c r="C4" s="60">
        <v>1</v>
      </c>
    </row>
    <row r="5" spans="1:6" x14ac:dyDescent="0.2">
      <c r="B5" s="37" t="s">
        <v>193</v>
      </c>
      <c r="C5" s="60">
        <v>1</v>
      </c>
    </row>
    <row r="6" spans="1:6" x14ac:dyDescent="0.2">
      <c r="B6" s="37" t="s">
        <v>195</v>
      </c>
      <c r="C6" s="60">
        <v>1</v>
      </c>
    </row>
    <row r="7" spans="1:6" x14ac:dyDescent="0.2">
      <c r="B7" t="s">
        <v>138</v>
      </c>
      <c r="C7" s="60">
        <v>1</v>
      </c>
    </row>
    <row r="8" spans="1:6" x14ac:dyDescent="0.2">
      <c r="B8" t="s">
        <v>139</v>
      </c>
      <c r="C8" s="60">
        <v>1</v>
      </c>
    </row>
    <row r="9" spans="1:6" x14ac:dyDescent="0.2">
      <c r="B9" t="s">
        <v>140</v>
      </c>
      <c r="C9" s="60">
        <v>1</v>
      </c>
    </row>
    <row r="10" spans="1:6" x14ac:dyDescent="0.2">
      <c r="B10" t="s">
        <v>147</v>
      </c>
      <c r="C10" s="60">
        <v>1</v>
      </c>
    </row>
    <row r="11" spans="1:6" x14ac:dyDescent="0.2">
      <c r="B11" s="37" t="s">
        <v>176</v>
      </c>
      <c r="C11" s="60">
        <v>1</v>
      </c>
    </row>
    <row r="12" spans="1:6" x14ac:dyDescent="0.2">
      <c r="B12" s="37" t="s">
        <v>185</v>
      </c>
      <c r="C12" s="60">
        <v>1</v>
      </c>
    </row>
    <row r="13" spans="1:6" x14ac:dyDescent="0.2">
      <c r="B13" s="37" t="s">
        <v>160</v>
      </c>
      <c r="C13" s="60">
        <v>3</v>
      </c>
    </row>
    <row r="14" spans="1:6" x14ac:dyDescent="0.2">
      <c r="B14" s="37" t="s">
        <v>186</v>
      </c>
      <c r="C14" s="60">
        <v>1</v>
      </c>
    </row>
    <row r="15" spans="1:6" x14ac:dyDescent="0.2">
      <c r="E15" s="38"/>
      <c r="F15" s="38"/>
    </row>
    <row r="16" spans="1:6" x14ac:dyDescent="0.2">
      <c r="E16" s="36"/>
      <c r="F16" s="38"/>
    </row>
    <row r="17" spans="5:6" x14ac:dyDescent="0.2">
      <c r="E17" s="36"/>
      <c r="F17" s="38"/>
    </row>
    <row r="18" spans="5:6" x14ac:dyDescent="0.2">
      <c r="E18" s="36"/>
      <c r="F18" s="38"/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12" activePane="bottomLeft" state="frozen"/>
      <selection pane="bottomLeft" activeCell="B115" sqref="B115"/>
    </sheetView>
  </sheetViews>
  <sheetFormatPr defaultColWidth="9" defaultRowHeight="14.25" x14ac:dyDescent="0.2"/>
  <cols>
    <col min="1" max="1" width="6.5" style="50" bestFit="1" customWidth="1"/>
    <col min="2" max="2" width="12.125" style="36" customWidth="1"/>
    <col min="3" max="3" width="24.75" customWidth="1"/>
    <col min="4" max="4" width="11.875" style="33" customWidth="1"/>
    <col min="5" max="5" width="11.875" style="32" customWidth="1"/>
    <col min="6" max="6" width="10.875" style="38" customWidth="1"/>
    <col min="7" max="7" width="10.25" style="1" bestFit="1" customWidth="1"/>
    <col min="8" max="8" width="10.25" style="1" customWidth="1"/>
    <col min="9" max="9" width="19.875" style="44" customWidth="1"/>
    <col min="10" max="10" width="13.25" style="32" bestFit="1" customWidth="1"/>
    <col min="11" max="11" width="14.125" style="33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0" t="s">
        <v>31</v>
      </c>
      <c r="B1" s="36" t="s">
        <v>164</v>
      </c>
      <c r="C1" t="s">
        <v>32</v>
      </c>
      <c r="D1" s="33" t="s">
        <v>0</v>
      </c>
      <c r="E1" s="34" t="s">
        <v>3</v>
      </c>
      <c r="F1" s="42" t="s">
        <v>152</v>
      </c>
      <c r="G1" s="1" t="s">
        <v>1</v>
      </c>
      <c r="H1" s="1" t="s">
        <v>2</v>
      </c>
    </row>
    <row r="2" spans="1:8" x14ac:dyDescent="0.2">
      <c r="A2" s="50">
        <v>42300</v>
      </c>
      <c r="B2" s="36" t="str">
        <f>INDEX(学习总体!A:A,MATCH(表2[[#This Row],[科目]],学习总体!C:C,0))</f>
        <v>Excel</v>
      </c>
      <c r="C2" t="s">
        <v>8</v>
      </c>
      <c r="D2" s="52">
        <f t="shared" ref="D2:D50" ca="1" si="0">TODAY()-A2</f>
        <v>118</v>
      </c>
      <c r="E2" s="32">
        <v>4.1666666666666699E-2</v>
      </c>
    </row>
    <row r="3" spans="1:8" x14ac:dyDescent="0.2">
      <c r="A3" s="50">
        <v>42300</v>
      </c>
      <c r="B3" s="36" t="str">
        <f>INDEX(学习总体!A:A,MATCH(表2[[#This Row],[科目]],学习总体!C:C,0))</f>
        <v>经济学-微观-初级</v>
      </c>
      <c r="C3" t="s">
        <v>12</v>
      </c>
      <c r="D3" s="52">
        <f t="shared" ca="1" si="0"/>
        <v>118</v>
      </c>
      <c r="E3" s="32">
        <v>6.25E-2</v>
      </c>
    </row>
    <row r="4" spans="1:8" x14ac:dyDescent="0.2">
      <c r="A4" s="50">
        <v>42301</v>
      </c>
      <c r="B4" s="36" t="str">
        <f>INDEX(学习总体!A:A,MATCH(表2[[#This Row],[科目]],学习总体!C:C,0))</f>
        <v>Python</v>
      </c>
      <c r="C4" t="s">
        <v>33</v>
      </c>
      <c r="D4" s="52">
        <f t="shared" ca="1" si="0"/>
        <v>117</v>
      </c>
      <c r="E4" s="32">
        <f>H4-G4</f>
        <v>0.100694444444444</v>
      </c>
      <c r="G4" s="1">
        <v>0</v>
      </c>
      <c r="H4" s="1">
        <v>0.100694444444444</v>
      </c>
    </row>
    <row r="5" spans="1:8" x14ac:dyDescent="0.2">
      <c r="A5" s="50">
        <v>42302</v>
      </c>
      <c r="B5" s="36" t="str">
        <f>INDEX(学习总体!A:A,MATCH(表2[[#This Row],[科目]],学习总体!C:C,0))</f>
        <v>VB.NET</v>
      </c>
      <c r="C5" t="s">
        <v>22</v>
      </c>
      <c r="D5" s="52">
        <f t="shared" ca="1" si="0"/>
        <v>116</v>
      </c>
      <c r="E5" s="32">
        <f>H5-G5</f>
        <v>1.4583333333332948E-2</v>
      </c>
      <c r="G5" s="1">
        <v>0.53125</v>
      </c>
      <c r="H5" s="1">
        <v>0.54583333333333295</v>
      </c>
    </row>
    <row r="6" spans="1:8" x14ac:dyDescent="0.2">
      <c r="A6" s="50">
        <v>42303</v>
      </c>
      <c r="B6" s="36" t="str">
        <f>INDEX(学习总体!A:A,MATCH(表2[[#This Row],[科目]],学习总体!C:C,0))</f>
        <v>Excel</v>
      </c>
      <c r="C6" t="s">
        <v>8</v>
      </c>
      <c r="D6" s="52">
        <f t="shared" ca="1" si="0"/>
        <v>115</v>
      </c>
      <c r="E6" s="32">
        <v>4.1666666666666699E-2</v>
      </c>
    </row>
    <row r="7" spans="1:8" x14ac:dyDescent="0.2">
      <c r="A7" s="50">
        <v>42303</v>
      </c>
      <c r="B7" s="36" t="str">
        <f>INDEX(学习总体!A:A,MATCH(表2[[#This Row],[科目]],学习总体!C:C,0))</f>
        <v>经济学-微观-初级</v>
      </c>
      <c r="C7" t="s">
        <v>12</v>
      </c>
      <c r="D7" s="52">
        <f t="shared" ca="1" si="0"/>
        <v>115</v>
      </c>
      <c r="E7" s="32">
        <v>4.1666666666666664E-2</v>
      </c>
    </row>
    <row r="8" spans="1:8" x14ac:dyDescent="0.2">
      <c r="A8" s="50">
        <v>42304</v>
      </c>
      <c r="B8" s="36" t="str">
        <f>INDEX(学习总体!A:A,MATCH(表2[[#This Row],[科目]],学习总体!C:C,0))</f>
        <v>Excel</v>
      </c>
      <c r="C8" t="s">
        <v>8</v>
      </c>
      <c r="D8" s="52">
        <f t="shared" ca="1" si="0"/>
        <v>114</v>
      </c>
      <c r="E8" s="32">
        <v>6.25E-2</v>
      </c>
    </row>
    <row r="9" spans="1:8" x14ac:dyDescent="0.2">
      <c r="A9" s="50">
        <v>42304</v>
      </c>
      <c r="B9" s="36" t="str">
        <f>INDEX(学习总体!A:A,MATCH(表2[[#This Row],[科目]],学习总体!C:C,0))</f>
        <v>Python</v>
      </c>
      <c r="C9" t="s">
        <v>24</v>
      </c>
      <c r="D9" s="52">
        <f t="shared" ca="1" si="0"/>
        <v>114</v>
      </c>
      <c r="E9" s="32">
        <v>2.0833333333333332E-2</v>
      </c>
    </row>
    <row r="10" spans="1:8" x14ac:dyDescent="0.2">
      <c r="A10" s="50">
        <v>42305</v>
      </c>
      <c r="B10" s="36" t="str">
        <f>INDEX(学习总体!A:A,MATCH(表2[[#This Row],[科目]],学习总体!C:C,0))</f>
        <v>Excel</v>
      </c>
      <c r="C10" t="s">
        <v>8</v>
      </c>
      <c r="D10" s="52">
        <f t="shared" ca="1" si="0"/>
        <v>113</v>
      </c>
      <c r="E10" s="32">
        <v>3.125E-2</v>
      </c>
    </row>
    <row r="11" spans="1:8" x14ac:dyDescent="0.2">
      <c r="A11" s="50">
        <v>42305</v>
      </c>
      <c r="B11" s="36" t="str">
        <f>INDEX(学习总体!A:A,MATCH(表2[[#This Row],[科目]],学习总体!C:C,0))</f>
        <v>经济学-微观-初级</v>
      </c>
      <c r="C11" t="s">
        <v>36</v>
      </c>
      <c r="D11" s="52">
        <f t="shared" ca="1" si="0"/>
        <v>113</v>
      </c>
      <c r="E11" s="32">
        <v>4.5138888888888888E-2</v>
      </c>
    </row>
    <row r="12" spans="1:8" x14ac:dyDescent="0.2">
      <c r="A12" s="50">
        <v>42306</v>
      </c>
      <c r="B12" s="36" t="str">
        <f>INDEX(学习总体!A:A,MATCH(表2[[#This Row],[科目]],学习总体!C:C,0))</f>
        <v>Excel</v>
      </c>
      <c r="C12" t="s">
        <v>8</v>
      </c>
      <c r="D12" s="52">
        <f t="shared" ca="1" si="0"/>
        <v>112</v>
      </c>
      <c r="E12" s="32">
        <v>4.1666666666666664E-2</v>
      </c>
    </row>
    <row r="13" spans="1:8" x14ac:dyDescent="0.2">
      <c r="A13" s="50">
        <v>42307</v>
      </c>
      <c r="B13" s="36" t="str">
        <f>INDEX(学习总体!A:A,MATCH(表2[[#This Row],[科目]],学习总体!C:C,0))</f>
        <v>Excel</v>
      </c>
      <c r="C13" t="s">
        <v>8</v>
      </c>
      <c r="D13" s="52">
        <f t="shared" ca="1" si="0"/>
        <v>111</v>
      </c>
      <c r="E13" s="32">
        <v>4.1666666666666664E-2</v>
      </c>
    </row>
    <row r="14" spans="1:8" x14ac:dyDescent="0.2">
      <c r="A14" s="50">
        <v>42308</v>
      </c>
      <c r="B14" s="36" t="str">
        <f>INDEX(学习总体!A:A,MATCH(表2[[#This Row],[科目]],学习总体!C:C,0))</f>
        <v>Python</v>
      </c>
      <c r="C14" t="s">
        <v>83</v>
      </c>
      <c r="D14" s="52">
        <f t="shared" ca="1" si="0"/>
        <v>110</v>
      </c>
      <c r="E14" s="32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0">
        <v>42310</v>
      </c>
      <c r="B15" s="36" t="str">
        <f>INDEX(学习总体!A:A,MATCH(表2[[#This Row],[科目]],学习总体!C:C,0))</f>
        <v>字帖-英语</v>
      </c>
      <c r="C15" t="s">
        <v>86</v>
      </c>
      <c r="D15" s="52">
        <f t="shared" ca="1" si="0"/>
        <v>108</v>
      </c>
      <c r="E15" s="32">
        <v>3.125E-2</v>
      </c>
    </row>
    <row r="16" spans="1:8" x14ac:dyDescent="0.2">
      <c r="A16" s="50">
        <v>42311</v>
      </c>
      <c r="B16" s="36" t="str">
        <f>INDEX(学习总体!A:A,MATCH(表2[[#This Row],[科目]],学习总体!C:C,0))</f>
        <v>Excel</v>
      </c>
      <c r="C16" t="s">
        <v>8</v>
      </c>
      <c r="D16" s="52">
        <f t="shared" ca="1" si="0"/>
        <v>107</v>
      </c>
      <c r="E16" s="32">
        <v>4.1666666666666664E-2</v>
      </c>
    </row>
    <row r="17" spans="1:8" x14ac:dyDescent="0.2">
      <c r="A17" s="50">
        <v>42311</v>
      </c>
      <c r="B17" s="36" t="str">
        <f>INDEX(学习总体!A:A,MATCH(表2[[#This Row],[科目]],学习总体!C:C,0))</f>
        <v>字帖-英语</v>
      </c>
      <c r="C17" t="s">
        <v>86</v>
      </c>
      <c r="D17" s="52">
        <f t="shared" ca="1" si="0"/>
        <v>107</v>
      </c>
      <c r="E17" s="32">
        <v>2.0833333333333332E-2</v>
      </c>
    </row>
    <row r="18" spans="1:8" x14ac:dyDescent="0.2">
      <c r="A18" s="50">
        <v>42312</v>
      </c>
      <c r="B18" s="36" t="str">
        <f>INDEX(学习总体!A:A,MATCH(表2[[#This Row],[科目]],学习总体!C:C,0))</f>
        <v>Excel</v>
      </c>
      <c r="C18" t="s">
        <v>8</v>
      </c>
      <c r="D18" s="52">
        <f t="shared" ca="1" si="0"/>
        <v>106</v>
      </c>
      <c r="E18" s="32">
        <v>4.1666666666666664E-2</v>
      </c>
    </row>
    <row r="19" spans="1:8" x14ac:dyDescent="0.2">
      <c r="A19" s="50">
        <v>42312</v>
      </c>
      <c r="B19" s="36" t="str">
        <f>INDEX(学习总体!A:A,MATCH(表2[[#This Row],[科目]],学习总体!C:C,0))</f>
        <v>字帖-英语</v>
      </c>
      <c r="C19" t="s">
        <v>86</v>
      </c>
      <c r="D19" s="52">
        <f t="shared" ca="1" si="0"/>
        <v>106</v>
      </c>
      <c r="E19" s="32">
        <v>2.0833333333333332E-2</v>
      </c>
    </row>
    <row r="20" spans="1:8" x14ac:dyDescent="0.2">
      <c r="A20" s="50">
        <v>42312</v>
      </c>
      <c r="B20" s="36" t="str">
        <f>INDEX(学习总体!A:A,MATCH(表2[[#This Row],[科目]],学习总体!C:C,0))</f>
        <v>经济学-微观-初级</v>
      </c>
      <c r="C20" t="s">
        <v>12</v>
      </c>
      <c r="D20" s="52">
        <f t="shared" ca="1" si="0"/>
        <v>106</v>
      </c>
      <c r="E20" s="32">
        <v>4.1666666666666664E-2</v>
      </c>
    </row>
    <row r="21" spans="1:8" x14ac:dyDescent="0.2">
      <c r="A21" s="50">
        <v>42312</v>
      </c>
      <c r="B21" s="36" t="str">
        <f>INDEX(学习总体!A:A,MATCH(表2[[#This Row],[科目]],学习总体!C:C,0))</f>
        <v>经济学-微观-初级</v>
      </c>
      <c r="C21" t="s">
        <v>36</v>
      </c>
      <c r="D21" s="52">
        <f t="shared" ca="1" si="0"/>
        <v>106</v>
      </c>
      <c r="E21" s="32">
        <v>6.25E-2</v>
      </c>
    </row>
    <row r="22" spans="1:8" x14ac:dyDescent="0.2">
      <c r="A22" s="50">
        <v>42312</v>
      </c>
      <c r="B22" s="36" t="str">
        <f>INDEX(学习总体!A:A,MATCH(表2[[#This Row],[科目]],学习总体!C:C,0))</f>
        <v>math-advanced math</v>
      </c>
      <c r="C22" t="s">
        <v>104</v>
      </c>
      <c r="D22" s="52">
        <f t="shared" ca="1" si="0"/>
        <v>106</v>
      </c>
      <c r="E22" s="32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0">
        <v>42313</v>
      </c>
      <c r="B23" s="36" t="str">
        <f>INDEX(学习总体!A:A,MATCH(表2[[#This Row],[科目]],学习总体!C:C,0))</f>
        <v>Excel</v>
      </c>
      <c r="C23" t="s">
        <v>8</v>
      </c>
      <c r="D23" s="52">
        <f t="shared" ca="1" si="0"/>
        <v>105</v>
      </c>
      <c r="E23" s="32">
        <v>4.8611111111111112E-2</v>
      </c>
    </row>
    <row r="24" spans="1:8" x14ac:dyDescent="0.2">
      <c r="A24" s="50">
        <v>42313</v>
      </c>
      <c r="B24" s="36" t="str">
        <f>INDEX(学习总体!A:A,MATCH(表2[[#This Row],[科目]],学习总体!C:C,0))</f>
        <v>math-advanced math</v>
      </c>
      <c r="C24" t="s">
        <v>109</v>
      </c>
      <c r="D24" s="52">
        <f t="shared" ca="1" si="0"/>
        <v>105</v>
      </c>
      <c r="E24" s="32">
        <v>2.0833333333333332E-2</v>
      </c>
    </row>
    <row r="25" spans="1:8" x14ac:dyDescent="0.2">
      <c r="A25" s="50">
        <v>42313</v>
      </c>
      <c r="B25" s="36" t="str">
        <f>INDEX(学习总体!A:A,MATCH(表2[[#This Row],[科目]],学习总体!C:C,0))</f>
        <v>Python</v>
      </c>
      <c r="C25" t="s">
        <v>14</v>
      </c>
      <c r="D25" s="52">
        <f t="shared" ca="1" si="0"/>
        <v>105</v>
      </c>
      <c r="E25" s="32">
        <v>4.1666666666666664E-2</v>
      </c>
    </row>
    <row r="26" spans="1:8" x14ac:dyDescent="0.2">
      <c r="A26" s="50">
        <v>42314</v>
      </c>
      <c r="B26" s="36" t="str">
        <f>INDEX(学习总体!A:A,MATCH(表2[[#This Row],[科目]],学习总体!C:C,0))</f>
        <v>Excel</v>
      </c>
      <c r="C26" t="s">
        <v>8</v>
      </c>
      <c r="D26" s="52">
        <f t="shared" ca="1" si="0"/>
        <v>104</v>
      </c>
      <c r="E26" s="32">
        <v>4.1666666666666664E-2</v>
      </c>
    </row>
    <row r="27" spans="1:8" x14ac:dyDescent="0.2">
      <c r="A27" s="50">
        <v>42314</v>
      </c>
      <c r="B27" s="36" t="str">
        <f>INDEX(学习总体!A:A,MATCH(表2[[#This Row],[科目]],学习总体!C:C,0))</f>
        <v>字帖-英语</v>
      </c>
      <c r="C27" t="s">
        <v>86</v>
      </c>
      <c r="D27" s="52">
        <f t="shared" ca="1" si="0"/>
        <v>104</v>
      </c>
      <c r="E27" s="32">
        <v>3.125E-2</v>
      </c>
    </row>
    <row r="28" spans="1:8" x14ac:dyDescent="0.2">
      <c r="A28" s="50">
        <v>42314</v>
      </c>
      <c r="B28" s="36" t="str">
        <f>INDEX(学习总体!A:A,MATCH(表2[[#This Row],[科目]],学习总体!C:C,0))</f>
        <v>Python</v>
      </c>
      <c r="C28" t="s">
        <v>14</v>
      </c>
      <c r="D28" s="52">
        <f t="shared" ca="1" si="0"/>
        <v>104</v>
      </c>
      <c r="E28" s="32">
        <v>4.1666666666666664E-2</v>
      </c>
    </row>
    <row r="29" spans="1:8" x14ac:dyDescent="0.2">
      <c r="A29" s="50">
        <v>42315</v>
      </c>
      <c r="B29" s="36" t="str">
        <f>INDEX(学习总体!A:A,MATCH(表2[[#This Row],[科目]],学习总体!C:C,0))</f>
        <v>math-advanced math</v>
      </c>
      <c r="C29" t="s">
        <v>109</v>
      </c>
      <c r="D29" s="52">
        <f t="shared" ca="1" si="0"/>
        <v>103</v>
      </c>
      <c r="E29" s="32">
        <v>2.0833333333333332E-2</v>
      </c>
    </row>
    <row r="30" spans="1:8" x14ac:dyDescent="0.2">
      <c r="A30" s="50">
        <v>42315</v>
      </c>
      <c r="B30" s="36" t="str">
        <f>INDEX(学习总体!A:A,MATCH(表2[[#This Row],[科目]],学习总体!C:C,0))</f>
        <v>Python</v>
      </c>
      <c r="C30" t="s">
        <v>14</v>
      </c>
      <c r="D30" s="52">
        <f t="shared" ca="1" si="0"/>
        <v>103</v>
      </c>
      <c r="E30" s="32">
        <v>0.10416666666666667</v>
      </c>
      <c r="F30" s="39"/>
    </row>
    <row r="31" spans="1:8" x14ac:dyDescent="0.2">
      <c r="A31" s="50">
        <v>42316</v>
      </c>
      <c r="B31" s="36" t="str">
        <f>INDEX(学习总体!A:A,MATCH(表2[[#This Row],[科目]],学习总体!C:C,0))</f>
        <v>经济学-微观-初级</v>
      </c>
      <c r="C31" t="s">
        <v>12</v>
      </c>
      <c r="D31" s="52">
        <f t="shared" ca="1" si="0"/>
        <v>102</v>
      </c>
      <c r="E31" s="32">
        <v>3.125E-2</v>
      </c>
    </row>
    <row r="32" spans="1:8" x14ac:dyDescent="0.2">
      <c r="A32" s="50">
        <v>42316</v>
      </c>
      <c r="B32" s="36" t="str">
        <f>INDEX(学习总体!A:A,MATCH(表2[[#This Row],[科目]],学习总体!C:C,0))</f>
        <v>经济学-微观-初级</v>
      </c>
      <c r="C32" t="s">
        <v>36</v>
      </c>
      <c r="D32" s="52">
        <f t="shared" ca="1" si="0"/>
        <v>102</v>
      </c>
      <c r="E32" s="32">
        <v>2.0833333333333332E-2</v>
      </c>
    </row>
    <row r="33" spans="1:6" x14ac:dyDescent="0.2">
      <c r="A33" s="50">
        <v>42316</v>
      </c>
      <c r="B33" s="36" t="str">
        <f>INDEX(学习总体!A:A,MATCH(表2[[#This Row],[科目]],学习总体!C:C,0))</f>
        <v>math-advanced math</v>
      </c>
      <c r="C33" t="s">
        <v>109</v>
      </c>
      <c r="D33" s="52">
        <f t="shared" ca="1" si="0"/>
        <v>102</v>
      </c>
      <c r="E33" s="32">
        <v>3.125E-2</v>
      </c>
      <c r="F33" s="39" t="s">
        <v>114</v>
      </c>
    </row>
    <row r="34" spans="1:6" x14ac:dyDescent="0.2">
      <c r="A34" s="50">
        <v>42317</v>
      </c>
      <c r="B34" s="36" t="str">
        <f>INDEX(学习总体!A:A,MATCH(表2[[#This Row],[科目]],学习总体!C:C,0))</f>
        <v>Python</v>
      </c>
      <c r="C34" t="s">
        <v>14</v>
      </c>
      <c r="D34" s="52">
        <f t="shared" ca="1" si="0"/>
        <v>101</v>
      </c>
      <c r="E34" s="35">
        <v>4.1666666666666664E-2</v>
      </c>
    </row>
    <row r="35" spans="1:6" x14ac:dyDescent="0.2">
      <c r="A35" s="50">
        <v>42317</v>
      </c>
      <c r="B35" s="36" t="str">
        <f>INDEX(学习总体!A:A,MATCH(表2[[#This Row],[科目]],学习总体!C:C,0))</f>
        <v>Excel</v>
      </c>
      <c r="C35" t="s">
        <v>8</v>
      </c>
      <c r="D35" s="52">
        <f t="shared" ca="1" si="0"/>
        <v>101</v>
      </c>
      <c r="E35" s="32">
        <v>4.1666666666666664E-2</v>
      </c>
    </row>
    <row r="36" spans="1:6" x14ac:dyDescent="0.2">
      <c r="A36" s="50">
        <v>42317</v>
      </c>
      <c r="B36" s="36" t="str">
        <f>INDEX(学习总体!A:A,MATCH(表2[[#This Row],[科目]],学习总体!C:C,0))</f>
        <v>字帖-英语</v>
      </c>
      <c r="C36" t="s">
        <v>86</v>
      </c>
      <c r="D36" s="52">
        <f t="shared" ca="1" si="0"/>
        <v>101</v>
      </c>
      <c r="E36" s="32">
        <v>2.0833333333333332E-2</v>
      </c>
    </row>
    <row r="37" spans="1:6" x14ac:dyDescent="0.2">
      <c r="A37" s="50">
        <v>42317</v>
      </c>
      <c r="B37" s="36" t="str">
        <f>INDEX(学习总体!A:A,MATCH(表2[[#This Row],[科目]],学习总体!C:C,0))</f>
        <v>English</v>
      </c>
      <c r="C37" t="s">
        <v>117</v>
      </c>
      <c r="D37" s="52">
        <f t="shared" ca="1" si="0"/>
        <v>101</v>
      </c>
      <c r="E37" s="32">
        <v>5.2083333333333336E-2</v>
      </c>
    </row>
    <row r="38" spans="1:6" ht="15.75" customHeight="1" x14ac:dyDescent="0.2">
      <c r="A38" s="50">
        <v>42318</v>
      </c>
      <c r="B38" s="36" t="str">
        <f>INDEX(学习总体!A:A,MATCH(表2[[#This Row],[科目]],学习总体!C:C,0))</f>
        <v>Excel</v>
      </c>
      <c r="C38" t="s">
        <v>8</v>
      </c>
      <c r="D38" s="52">
        <f t="shared" ca="1" si="0"/>
        <v>100</v>
      </c>
      <c r="E38" s="32">
        <v>2.0833333333333332E-2</v>
      </c>
      <c r="F38" s="41" t="s">
        <v>122</v>
      </c>
    </row>
    <row r="39" spans="1:6" x14ac:dyDescent="0.2">
      <c r="A39" s="50">
        <v>42318</v>
      </c>
      <c r="B39" s="36" t="str">
        <f>INDEX(学习总体!A:A,MATCH(表2[[#This Row],[科目]],学习总体!C:C,0))</f>
        <v>字帖-英语</v>
      </c>
      <c r="C39" t="s">
        <v>86</v>
      </c>
      <c r="D39" s="52">
        <f t="shared" ca="1" si="0"/>
        <v>100</v>
      </c>
      <c r="E39" s="32">
        <v>2.0833333333333332E-2</v>
      </c>
    </row>
    <row r="40" spans="1:6" x14ac:dyDescent="0.2">
      <c r="A40" s="50">
        <v>42319</v>
      </c>
      <c r="B40" s="36" t="str">
        <f>INDEX(学习总体!A:A,MATCH(表2[[#This Row],[科目]],学习总体!C:C,0))</f>
        <v>Excel</v>
      </c>
      <c r="C40" t="s">
        <v>130</v>
      </c>
      <c r="D40" s="52">
        <f t="shared" ca="1" si="0"/>
        <v>99</v>
      </c>
      <c r="E40" s="32">
        <v>4.1666666666666664E-2</v>
      </c>
    </row>
    <row r="41" spans="1:6" x14ac:dyDescent="0.2">
      <c r="A41" s="50">
        <v>42319</v>
      </c>
      <c r="B41" s="36" t="str">
        <f>INDEX(学习总体!A:A,MATCH(表2[[#This Row],[科目]],学习总体!C:C,0))</f>
        <v>English</v>
      </c>
      <c r="C41" t="s">
        <v>117</v>
      </c>
      <c r="D41" s="52">
        <f t="shared" ca="1" si="0"/>
        <v>99</v>
      </c>
      <c r="E41" s="32">
        <v>3.125E-2</v>
      </c>
    </row>
    <row r="42" spans="1:6" x14ac:dyDescent="0.2">
      <c r="A42" s="50">
        <v>42320</v>
      </c>
      <c r="B42" s="36" t="str">
        <f>INDEX(学习总体!A:A,MATCH(表2[[#This Row],[科目]],学习总体!C:C,0))</f>
        <v>English</v>
      </c>
      <c r="C42" t="s">
        <v>117</v>
      </c>
      <c r="D42" s="52">
        <f t="shared" ca="1" si="0"/>
        <v>98</v>
      </c>
      <c r="E42" s="32">
        <v>4.1666666666666664E-2</v>
      </c>
    </row>
    <row r="43" spans="1:6" x14ac:dyDescent="0.2">
      <c r="A43" s="50">
        <v>42320</v>
      </c>
      <c r="B43" s="36" t="str">
        <f>INDEX(学习总体!A:A,MATCH(表2[[#This Row],[科目]],学习总体!C:C,0))</f>
        <v>字帖-英语</v>
      </c>
      <c r="C43" t="s">
        <v>86</v>
      </c>
      <c r="D43" s="52">
        <f t="shared" ca="1" si="0"/>
        <v>98</v>
      </c>
      <c r="E43" s="32">
        <v>2.7777777777777776E-2</v>
      </c>
    </row>
    <row r="44" spans="1:6" x14ac:dyDescent="0.2">
      <c r="A44" s="50">
        <v>42321</v>
      </c>
      <c r="B44" s="36" t="str">
        <f>INDEX(学习总体!A:A,MATCH(表2[[#This Row],[科目]],学习总体!C:C,0))</f>
        <v>English</v>
      </c>
      <c r="C44" t="s">
        <v>117</v>
      </c>
      <c r="D44" s="52">
        <f t="shared" ca="1" si="0"/>
        <v>97</v>
      </c>
      <c r="E44" s="32">
        <v>4.8611111111111112E-2</v>
      </c>
    </row>
    <row r="45" spans="1:6" x14ac:dyDescent="0.2">
      <c r="A45" s="50">
        <v>42321</v>
      </c>
      <c r="B45" s="36" t="str">
        <f>INDEX(学习总体!A:A,MATCH(表2[[#This Row],[科目]],学习总体!C:C,0))</f>
        <v>字帖-英语</v>
      </c>
      <c r="C45" t="s">
        <v>86</v>
      </c>
      <c r="D45" s="52">
        <f t="shared" ca="1" si="0"/>
        <v>97</v>
      </c>
      <c r="E45" s="32">
        <v>2.0833333333333332E-2</v>
      </c>
    </row>
    <row r="46" spans="1:6" x14ac:dyDescent="0.2">
      <c r="A46" s="50">
        <v>42323</v>
      </c>
      <c r="B46" s="36" t="str">
        <f>INDEX(学习总体!A:A,MATCH(表2[[#This Row],[科目]],学习总体!C:C,0))</f>
        <v>Python</v>
      </c>
      <c r="C46" t="s">
        <v>150</v>
      </c>
      <c r="D46" s="52">
        <f t="shared" ca="1" si="0"/>
        <v>95</v>
      </c>
      <c r="E46" s="32">
        <v>8.3333333333333329E-2</v>
      </c>
    </row>
    <row r="47" spans="1:6" x14ac:dyDescent="0.2">
      <c r="A47" s="50">
        <v>42324</v>
      </c>
      <c r="B47" s="36" t="str">
        <f>INDEX(学习总体!A:A,MATCH(表2[[#This Row],[科目]],学习总体!C:C,0))</f>
        <v>字帖-英语</v>
      </c>
      <c r="C47" t="s">
        <v>86</v>
      </c>
      <c r="D47" s="52">
        <f t="shared" ca="1" si="0"/>
        <v>94</v>
      </c>
      <c r="E47" s="32">
        <v>2.0833333333333332E-2</v>
      </c>
    </row>
    <row r="48" spans="1:6" x14ac:dyDescent="0.2">
      <c r="A48" s="50">
        <v>42324</v>
      </c>
      <c r="B48" s="36" t="str">
        <f>INDEX(学习总体!A:A,MATCH(表2[[#This Row],[科目]],学习总体!C:C,0))</f>
        <v>Excel</v>
      </c>
      <c r="C48" t="s">
        <v>130</v>
      </c>
      <c r="D48" s="52">
        <f t="shared" ca="1" si="0"/>
        <v>94</v>
      </c>
      <c r="E48" s="32">
        <v>4.1666666666666664E-2</v>
      </c>
    </row>
    <row r="49" spans="1:5" x14ac:dyDescent="0.2">
      <c r="A49" s="50">
        <v>42324</v>
      </c>
      <c r="B49" s="36" t="str">
        <f>INDEX(学习总体!A:A,MATCH(表2[[#This Row],[科目]],学习总体!C:C,0))</f>
        <v>English</v>
      </c>
      <c r="C49" t="s">
        <v>117</v>
      </c>
      <c r="D49" s="52">
        <f t="shared" ca="1" si="0"/>
        <v>94</v>
      </c>
      <c r="E49" s="32">
        <v>2.0833333333333332E-2</v>
      </c>
    </row>
    <row r="50" spans="1:5" x14ac:dyDescent="0.2">
      <c r="A50" s="50">
        <v>42324</v>
      </c>
      <c r="B50" s="36" t="str">
        <f>INDEX(学习总体!A:A,MATCH(表2[[#This Row],[科目]],学习总体!C:C,0))</f>
        <v>Python</v>
      </c>
      <c r="C50" t="s">
        <v>150</v>
      </c>
      <c r="D50" s="52">
        <f t="shared" ca="1" si="0"/>
        <v>94</v>
      </c>
      <c r="E50" s="32">
        <v>4.1666666666666664E-2</v>
      </c>
    </row>
    <row r="51" spans="1:5" x14ac:dyDescent="0.2">
      <c r="A51" s="50">
        <v>42324</v>
      </c>
      <c r="B51" s="36" t="str">
        <f>INDEX(学习总体!A:A,MATCH(表2[[#This Row],[科目]],学习总体!C:C,0))</f>
        <v>Python</v>
      </c>
      <c r="C51" t="s">
        <v>150</v>
      </c>
      <c r="D51" s="52">
        <f t="shared" ref="D51:D70" ca="1" si="1">TODAY()-A51</f>
        <v>94</v>
      </c>
      <c r="E51" s="32">
        <v>2.0833333333333332E-2</v>
      </c>
    </row>
    <row r="52" spans="1:5" x14ac:dyDescent="0.2">
      <c r="A52" s="50">
        <v>42325</v>
      </c>
      <c r="B52" s="36" t="str">
        <f>INDEX(学习总体!A:A,MATCH(表2[[#This Row],[科目]],学习总体!C:C,0))</f>
        <v>English</v>
      </c>
      <c r="C52" t="s">
        <v>117</v>
      </c>
      <c r="D52" s="52">
        <f t="shared" ca="1" si="1"/>
        <v>93</v>
      </c>
      <c r="E52" s="32">
        <v>3.125E-2</v>
      </c>
    </row>
    <row r="53" spans="1:5" x14ac:dyDescent="0.2">
      <c r="A53" s="50">
        <v>42325</v>
      </c>
      <c r="B53" s="36" t="str">
        <f>INDEX(学习总体!A:A,MATCH(表2[[#This Row],[科目]],学习总体!C:C,0))</f>
        <v>字帖-英语</v>
      </c>
      <c r="C53" t="s">
        <v>86</v>
      </c>
      <c r="D53" s="52">
        <f t="shared" ca="1" si="1"/>
        <v>93</v>
      </c>
      <c r="E53" s="32">
        <v>2.0833333333333332E-2</v>
      </c>
    </row>
    <row r="54" spans="1:5" x14ac:dyDescent="0.2">
      <c r="A54" s="50">
        <v>42325</v>
      </c>
      <c r="B54" s="36" t="str">
        <f>INDEX(学习总体!A:A,MATCH(表2[[#This Row],[科目]],学习总体!C:C,0))</f>
        <v>Excel</v>
      </c>
      <c r="C54" t="s">
        <v>130</v>
      </c>
      <c r="D54" s="52">
        <f t="shared" ca="1" si="1"/>
        <v>93</v>
      </c>
      <c r="E54" s="32">
        <v>3.125E-2</v>
      </c>
    </row>
    <row r="55" spans="1:5" x14ac:dyDescent="0.2">
      <c r="A55" s="50">
        <v>42325</v>
      </c>
      <c r="B55" s="36" t="str">
        <f>INDEX(学习总体!A:A,MATCH(表2[[#This Row],[科目]],学习总体!C:C,0))</f>
        <v>Python</v>
      </c>
      <c r="C55" t="s">
        <v>155</v>
      </c>
      <c r="D55" s="52">
        <f t="shared" ca="1" si="1"/>
        <v>93</v>
      </c>
      <c r="E55" s="32">
        <v>4.1666666666666664E-2</v>
      </c>
    </row>
    <row r="56" spans="1:5" x14ac:dyDescent="0.2">
      <c r="A56" s="50">
        <v>42326</v>
      </c>
      <c r="B56" s="36" t="str">
        <f>INDEX(学习总体!A:A,MATCH(表2[[#This Row],[科目]],学习总体!C:C,0))</f>
        <v>English</v>
      </c>
      <c r="C56" t="s">
        <v>117</v>
      </c>
      <c r="D56" s="52">
        <f t="shared" ca="1" si="1"/>
        <v>92</v>
      </c>
      <c r="E56" s="32">
        <v>3.125E-2</v>
      </c>
    </row>
    <row r="57" spans="1:5" x14ac:dyDescent="0.2">
      <c r="A57" s="50">
        <v>42326</v>
      </c>
      <c r="B57" s="36" t="str">
        <f>INDEX(学习总体!A:A,MATCH(表2[[#This Row],[科目]],学习总体!C:C,0))</f>
        <v>字帖-英语</v>
      </c>
      <c r="C57" t="s">
        <v>86</v>
      </c>
      <c r="D57" s="52">
        <f t="shared" ca="1" si="1"/>
        <v>92</v>
      </c>
      <c r="E57" s="32">
        <v>2.0833333333333332E-2</v>
      </c>
    </row>
    <row r="58" spans="1:5" x14ac:dyDescent="0.2">
      <c r="A58" s="50">
        <v>42326</v>
      </c>
      <c r="B58" s="36" t="str">
        <f>INDEX(学习总体!A:A,MATCH(表2[[#This Row],[科目]],学习总体!C:C,0))</f>
        <v>Python</v>
      </c>
      <c r="C58" t="s">
        <v>150</v>
      </c>
      <c r="D58" s="52">
        <f t="shared" ca="1" si="1"/>
        <v>92</v>
      </c>
      <c r="E58" s="32">
        <v>2.0833333333333332E-2</v>
      </c>
    </row>
    <row r="59" spans="1:5" x14ac:dyDescent="0.2">
      <c r="A59" s="50">
        <v>42327</v>
      </c>
      <c r="B59" s="36" t="str">
        <f>INDEX(学习总体!A:A,MATCH(表2[[#This Row],[科目]],学习总体!C:C,0))</f>
        <v>Python</v>
      </c>
      <c r="C59" t="s">
        <v>150</v>
      </c>
      <c r="D59" s="52">
        <f t="shared" ca="1" si="1"/>
        <v>91</v>
      </c>
      <c r="E59" s="32">
        <v>5.2083333333333336E-2</v>
      </c>
    </row>
    <row r="60" spans="1:5" x14ac:dyDescent="0.2">
      <c r="A60" s="50">
        <v>42327</v>
      </c>
      <c r="B60" s="36" t="str">
        <f>INDEX(学习总体!A:A,MATCH(表2[[#This Row],[科目]],学习总体!C:C,0))</f>
        <v>English</v>
      </c>
      <c r="C60" t="s">
        <v>117</v>
      </c>
      <c r="D60" s="52">
        <f t="shared" ca="1" si="1"/>
        <v>91</v>
      </c>
      <c r="E60" s="32">
        <v>2.0833333333333332E-2</v>
      </c>
    </row>
    <row r="61" spans="1:5" x14ac:dyDescent="0.2">
      <c r="A61" s="50">
        <v>42327</v>
      </c>
      <c r="B61" s="36" t="str">
        <f>INDEX(学习总体!A:A,MATCH(表2[[#This Row],[科目]],学习总体!C:C,0))</f>
        <v>math-advanced math</v>
      </c>
      <c r="C61" t="s">
        <v>109</v>
      </c>
      <c r="D61" s="52">
        <f t="shared" ca="1" si="1"/>
        <v>91</v>
      </c>
      <c r="E61" s="32">
        <v>3.125E-2</v>
      </c>
    </row>
    <row r="62" spans="1:5" x14ac:dyDescent="0.2">
      <c r="A62" s="50">
        <v>42327</v>
      </c>
      <c r="B62" s="36" t="str">
        <f>INDEX(学习总体!A:A,MATCH(表2[[#This Row],[科目]],学习总体!C:C,0))</f>
        <v>字帖-英语</v>
      </c>
      <c r="C62" t="s">
        <v>86</v>
      </c>
      <c r="D62" s="52">
        <f t="shared" ca="1" si="1"/>
        <v>91</v>
      </c>
      <c r="E62" s="32">
        <v>3.125E-2</v>
      </c>
    </row>
    <row r="63" spans="1:5" x14ac:dyDescent="0.2">
      <c r="A63" s="50">
        <v>42327</v>
      </c>
      <c r="B63" s="36" t="str">
        <f>INDEX(学习总体!A:A,MATCH(表2[[#This Row],[科目]],学习总体!C:C,0))</f>
        <v>Excel</v>
      </c>
      <c r="C63" t="s">
        <v>130</v>
      </c>
      <c r="D63" s="52">
        <f t="shared" ca="1" si="1"/>
        <v>91</v>
      </c>
      <c r="E63" s="32">
        <v>4.1666666666666664E-2</v>
      </c>
    </row>
    <row r="64" spans="1:5" x14ac:dyDescent="0.2">
      <c r="A64" s="50">
        <v>42327</v>
      </c>
      <c r="B64" s="36" t="str">
        <f>INDEX(学习总体!A:A,MATCH(表2[[#This Row],[科目]],学习总体!C:C,0))</f>
        <v>Python</v>
      </c>
      <c r="C64" t="s">
        <v>155</v>
      </c>
      <c r="D64" s="52">
        <f t="shared" ca="1" si="1"/>
        <v>91</v>
      </c>
      <c r="E64" s="32">
        <v>8.3333333333333329E-2</v>
      </c>
    </row>
    <row r="65" spans="1:6" x14ac:dyDescent="0.2">
      <c r="A65" s="50">
        <v>42328</v>
      </c>
      <c r="B65" s="36" t="str">
        <f>INDEX(学习总体!A:A,MATCH(表2[[#This Row],[科目]],学习总体!C:C,0))</f>
        <v>English</v>
      </c>
      <c r="C65" t="s">
        <v>117</v>
      </c>
      <c r="D65" s="52">
        <f t="shared" ca="1" si="1"/>
        <v>90</v>
      </c>
      <c r="E65" s="32">
        <v>3.4722222222222224E-2</v>
      </c>
    </row>
    <row r="66" spans="1:6" x14ac:dyDescent="0.2">
      <c r="A66" s="50">
        <v>42328</v>
      </c>
      <c r="B66" s="36" t="str">
        <f>INDEX(学习总体!A:A,MATCH(表2[[#This Row],[科目]],学习总体!C:C,0))</f>
        <v>字帖-英语</v>
      </c>
      <c r="C66" t="s">
        <v>86</v>
      </c>
      <c r="D66" s="52">
        <f t="shared" ca="1" si="1"/>
        <v>90</v>
      </c>
      <c r="E66" s="32">
        <v>2.7777777777777776E-2</v>
      </c>
    </row>
    <row r="67" spans="1:6" x14ac:dyDescent="0.2">
      <c r="A67" s="50">
        <v>42328</v>
      </c>
      <c r="B67" s="36" t="str">
        <f>INDEX(学习总体!A:A,MATCH(表2[[#This Row],[科目]],学习总体!C:C,0))</f>
        <v>Python</v>
      </c>
      <c r="C67" t="s">
        <v>14</v>
      </c>
      <c r="D67" s="52">
        <f t="shared" ca="1" si="1"/>
        <v>90</v>
      </c>
      <c r="E67" s="32">
        <v>2.7777777777777776E-2</v>
      </c>
    </row>
    <row r="68" spans="1:6" x14ac:dyDescent="0.2">
      <c r="A68" s="50">
        <v>42328</v>
      </c>
      <c r="B68" s="36" t="str">
        <f>INDEX(学习总体!A:A,MATCH(表2[[#This Row],[科目]],学习总体!C:C,0))</f>
        <v>Excel</v>
      </c>
      <c r="C68" t="s">
        <v>130</v>
      </c>
      <c r="D68" s="52">
        <f t="shared" ca="1" si="1"/>
        <v>90</v>
      </c>
      <c r="E68" s="32">
        <v>4.1666666666666664E-2</v>
      </c>
    </row>
    <row r="69" spans="1:6" x14ac:dyDescent="0.2">
      <c r="A69" s="50">
        <v>42328</v>
      </c>
      <c r="B69" s="36" t="str">
        <f>INDEX(学习总体!A:A,MATCH(表2[[#This Row],[科目]],学习总体!C:C,0))</f>
        <v>Python</v>
      </c>
      <c r="C69" t="s">
        <v>155</v>
      </c>
      <c r="D69" s="52">
        <f t="shared" ca="1" si="1"/>
        <v>90</v>
      </c>
      <c r="E69" s="32">
        <v>8.3333333333333329E-2</v>
      </c>
    </row>
    <row r="70" spans="1:6" x14ac:dyDescent="0.2">
      <c r="A70" s="50">
        <v>42329</v>
      </c>
      <c r="B70" s="36" t="str">
        <f>INDEX(学习总体!A:A,MATCH(表2[[#This Row],[科目]],学习总体!C:C,0))</f>
        <v>Python</v>
      </c>
      <c r="C70" t="s">
        <v>155</v>
      </c>
      <c r="D70" s="52">
        <f t="shared" ca="1" si="1"/>
        <v>89</v>
      </c>
      <c r="E70" s="32">
        <v>5.9027777777777783E-2</v>
      </c>
      <c r="F70" s="39" t="s">
        <v>158</v>
      </c>
    </row>
    <row r="71" spans="1:6" x14ac:dyDescent="0.2">
      <c r="A71" s="50">
        <v>42330</v>
      </c>
      <c r="B71" s="36" t="str">
        <f>INDEX(学习总体!A:A,MATCH(表2[[#This Row],[科目]],学习总体!C:C,0))</f>
        <v>Python</v>
      </c>
      <c r="C71" t="s">
        <v>150</v>
      </c>
      <c r="D71" s="52">
        <f t="shared" ref="D71:D76" ca="1" si="2">TODAY()-A71</f>
        <v>88</v>
      </c>
      <c r="E71" s="32">
        <v>2.0833333333333332E-2</v>
      </c>
    </row>
    <row r="72" spans="1:6" x14ac:dyDescent="0.2">
      <c r="A72" s="50">
        <v>42330</v>
      </c>
      <c r="B72" s="36" t="str">
        <f>INDEX(学习总体!A:A,MATCH(表2[[#This Row],[科目]],学习总体!C:C,0))</f>
        <v>字帖-英语</v>
      </c>
      <c r="C72" t="s">
        <v>86</v>
      </c>
      <c r="D72" s="52">
        <f t="shared" ca="1" si="2"/>
        <v>88</v>
      </c>
      <c r="E72" s="32">
        <v>2.0833333333333332E-2</v>
      </c>
    </row>
    <row r="73" spans="1:6" x14ac:dyDescent="0.2">
      <c r="A73" s="50">
        <v>42331</v>
      </c>
      <c r="B73" s="36" t="str">
        <f>INDEX(学习总体!A:A,MATCH(表2[[#This Row],[科目]],学习总体!C:C,0))</f>
        <v>字帖-英语</v>
      </c>
      <c r="C73" t="s">
        <v>86</v>
      </c>
      <c r="D73" s="52">
        <f t="shared" ca="1" si="2"/>
        <v>87</v>
      </c>
      <c r="E73" s="32">
        <v>2.4305555555555556E-2</v>
      </c>
    </row>
    <row r="74" spans="1:6" x14ac:dyDescent="0.2">
      <c r="A74" s="50">
        <v>42331</v>
      </c>
      <c r="B74" s="36" t="str">
        <f>INDEX(学习总体!A:A,MATCH(表2[[#This Row],[科目]],学习总体!C:C,0))</f>
        <v>Excel</v>
      </c>
      <c r="C74" t="s">
        <v>130</v>
      </c>
      <c r="D74" s="52">
        <f t="shared" ca="1" si="2"/>
        <v>87</v>
      </c>
      <c r="E74" s="32">
        <v>2.0833333333333332E-2</v>
      </c>
    </row>
    <row r="75" spans="1:6" x14ac:dyDescent="0.2">
      <c r="A75" s="50">
        <v>42331</v>
      </c>
      <c r="B75" s="36" t="str">
        <f>INDEX(学习总体!A:A,MATCH(表2[[#This Row],[科目]],学习总体!C:C,0))</f>
        <v>Python</v>
      </c>
      <c r="C75" t="s">
        <v>150</v>
      </c>
      <c r="D75" s="52">
        <f t="shared" ca="1" si="2"/>
        <v>87</v>
      </c>
      <c r="E75" s="32">
        <v>3.125E-2</v>
      </c>
    </row>
    <row r="76" spans="1:6" x14ac:dyDescent="0.2">
      <c r="A76" s="50">
        <v>42332</v>
      </c>
      <c r="B76" s="36" t="str">
        <f>INDEX(学习总体!A:A,MATCH(表2[[#This Row],[科目]],学习总体!C:C,0))</f>
        <v>字帖-英语</v>
      </c>
      <c r="C76" t="s">
        <v>86</v>
      </c>
      <c r="D76" s="52">
        <f t="shared" ca="1" si="2"/>
        <v>86</v>
      </c>
      <c r="E76" s="32">
        <v>3.125E-2</v>
      </c>
    </row>
    <row r="77" spans="1:6" x14ac:dyDescent="0.2">
      <c r="A77" s="50">
        <v>42332</v>
      </c>
      <c r="B77" s="36" t="str">
        <f>INDEX(学习总体!A:A,MATCH(表2[[#This Row],[科目]],学习总体!C:C,0))</f>
        <v>English</v>
      </c>
      <c r="C77" t="s">
        <v>117</v>
      </c>
      <c r="D77" s="52">
        <f ca="1">TODAY()-A77</f>
        <v>86</v>
      </c>
      <c r="E77" s="32">
        <v>4.1666666666666664E-2</v>
      </c>
    </row>
    <row r="78" spans="1:6" x14ac:dyDescent="0.2">
      <c r="A78" s="50">
        <v>42333</v>
      </c>
      <c r="B78" s="36" t="str">
        <f>INDEX(学习总体!A:A,MATCH(表2[[#This Row],[科目]],学习总体!C:C,0))</f>
        <v>字帖-英语</v>
      </c>
      <c r="C78" t="s">
        <v>86</v>
      </c>
      <c r="D78" s="52">
        <f ca="1">TODAY()-A78</f>
        <v>85</v>
      </c>
      <c r="E78" s="32">
        <v>3.125E-2</v>
      </c>
    </row>
    <row r="79" spans="1:6" x14ac:dyDescent="0.2">
      <c r="A79" s="50">
        <v>42333</v>
      </c>
      <c r="B79" s="36" t="str">
        <f>INDEX(学习总体!A:A,MATCH(表2[[#This Row],[科目]],学习总体!C:C,0))</f>
        <v>English</v>
      </c>
      <c r="C79" t="s">
        <v>117</v>
      </c>
      <c r="D79" s="52">
        <f ca="1">TODAY()-A79</f>
        <v>85</v>
      </c>
      <c r="E79" s="32">
        <v>4.1666666666666664E-2</v>
      </c>
    </row>
    <row r="80" spans="1:6" x14ac:dyDescent="0.2">
      <c r="A80" s="50">
        <v>42334</v>
      </c>
      <c r="B80" s="36" t="str">
        <f>INDEX(学习总体!A:A,MATCH(表2[[#This Row],[科目]],学习总体!C:C,0))</f>
        <v>English</v>
      </c>
      <c r="C80" t="s">
        <v>117</v>
      </c>
      <c r="D80" s="52">
        <f t="shared" ref="D80:D81" ca="1" si="3">TODAY()-A80</f>
        <v>84</v>
      </c>
      <c r="E80" s="32">
        <v>5.2083333333333336E-2</v>
      </c>
    </row>
    <row r="81" spans="1:8" x14ac:dyDescent="0.2">
      <c r="A81" s="50">
        <v>42334</v>
      </c>
      <c r="B81" s="36" t="str">
        <f>INDEX(学习总体!A:A,MATCH(表2[[#This Row],[科目]],学习总体!C:C,0))</f>
        <v>Excel</v>
      </c>
      <c r="C81" t="s">
        <v>130</v>
      </c>
      <c r="D81" s="52">
        <f t="shared" ca="1" si="3"/>
        <v>84</v>
      </c>
      <c r="E81" s="32">
        <v>6.25E-2</v>
      </c>
    </row>
    <row r="82" spans="1:8" x14ac:dyDescent="0.2">
      <c r="A82" s="50">
        <v>42334</v>
      </c>
      <c r="B82" s="36" t="str">
        <f>INDEX(学习总体!A:A,MATCH(表2[[#This Row],[科目]],学习总体!C:C,0))</f>
        <v>math-advanced math</v>
      </c>
      <c r="C82" t="s">
        <v>109</v>
      </c>
      <c r="D82" s="52">
        <f ca="1">TODAY()-A82</f>
        <v>84</v>
      </c>
      <c r="E82" s="32">
        <v>2.0833333333333332E-2</v>
      </c>
    </row>
    <row r="83" spans="1:8" x14ac:dyDescent="0.2">
      <c r="A83" s="50">
        <v>42335</v>
      </c>
      <c r="B83" s="36" t="str">
        <f>INDEX(学习总体!A:A,MATCH(表2[[#This Row],[科目]],学习总体!C:C,0))</f>
        <v>字帖-英语</v>
      </c>
      <c r="C83" t="s">
        <v>86</v>
      </c>
      <c r="D83" s="52">
        <f ca="1">TODAY()-A83</f>
        <v>83</v>
      </c>
      <c r="E83" s="32">
        <v>3.125E-2</v>
      </c>
    </row>
    <row r="84" spans="1:8" x14ac:dyDescent="0.2">
      <c r="A84" s="50">
        <v>42337</v>
      </c>
      <c r="B84" s="36" t="str">
        <f>INDEX(学习总体!A:A,MATCH(表2[[#This Row],[科目]],学习总体!C:C,0))</f>
        <v>math-advanced math</v>
      </c>
      <c r="C84" t="s">
        <v>104</v>
      </c>
      <c r="D84" s="52">
        <f ca="1">TODAY()-A84</f>
        <v>81</v>
      </c>
      <c r="E84" s="32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0">
        <v>42337</v>
      </c>
      <c r="B85" s="36" t="str">
        <f>INDEX(学习总体!A:A,MATCH(表2[[#This Row],[科目]],学习总体!C:C,0))</f>
        <v>math-advanced math</v>
      </c>
      <c r="C85" t="s">
        <v>104</v>
      </c>
      <c r="D85" s="52">
        <f ca="1">TODAY()-A85</f>
        <v>81</v>
      </c>
      <c r="E85" s="32">
        <v>4.1666666666666664E-2</v>
      </c>
    </row>
    <row r="86" spans="1:8" x14ac:dyDescent="0.2">
      <c r="A86" s="50">
        <v>42338</v>
      </c>
      <c r="B86" s="36" t="str">
        <f>INDEX(学习总体!A:A,MATCH(表2[[#This Row],[科目]],学习总体!C:C,0))</f>
        <v>字帖-英语</v>
      </c>
      <c r="C86" t="s">
        <v>86</v>
      </c>
      <c r="D86" s="52">
        <f t="shared" ref="D86:D87" ca="1" si="4">TODAY()-A86</f>
        <v>80</v>
      </c>
      <c r="E86" s="32">
        <v>2.7777777777777776E-2</v>
      </c>
    </row>
    <row r="87" spans="1:8" x14ac:dyDescent="0.2">
      <c r="A87" s="50">
        <v>42338</v>
      </c>
      <c r="B87" s="36" t="str">
        <f>INDEX(学习总体!A:A,MATCH(表2[[#This Row],[科目]],学习总体!C:C,0))</f>
        <v>English</v>
      </c>
      <c r="C87" t="s">
        <v>117</v>
      </c>
      <c r="D87" s="52">
        <f t="shared" ca="1" si="4"/>
        <v>80</v>
      </c>
      <c r="E87" s="32">
        <v>4.1666666666666664E-2</v>
      </c>
    </row>
    <row r="88" spans="1:8" x14ac:dyDescent="0.2">
      <c r="A88" s="50">
        <v>42339</v>
      </c>
      <c r="B88" s="36" t="str">
        <f>INDEX(学习总体!A:A,MATCH(表2[[#This Row],[科目]],学习总体!C:C,0))</f>
        <v>English</v>
      </c>
      <c r="C88" t="s">
        <v>117</v>
      </c>
      <c r="D88" s="52">
        <f t="shared" ref="D88:D93" ca="1" si="5">TODAY()-A88</f>
        <v>79</v>
      </c>
      <c r="E88" s="32">
        <v>4.1666666666666664E-2</v>
      </c>
    </row>
    <row r="89" spans="1:8" x14ac:dyDescent="0.2">
      <c r="A89" s="50">
        <v>42339</v>
      </c>
      <c r="B89" s="36" t="str">
        <f>INDEX(学习总体!A:A,MATCH(表2[[#This Row],[科目]],学习总体!C:C,0))</f>
        <v>Python</v>
      </c>
      <c r="C89" t="s">
        <v>23</v>
      </c>
      <c r="D89" s="52">
        <f t="shared" ca="1" si="5"/>
        <v>79</v>
      </c>
      <c r="E89" s="32">
        <v>4.1666666666666664E-2</v>
      </c>
    </row>
    <row r="90" spans="1:8" x14ac:dyDescent="0.2">
      <c r="A90" s="50">
        <v>42339</v>
      </c>
      <c r="B90" s="36" t="str">
        <f>INDEX(学习总体!A:A,MATCH(表2[[#This Row],[科目]],学习总体!C:C,0))</f>
        <v>字帖-英语</v>
      </c>
      <c r="C90" t="s">
        <v>86</v>
      </c>
      <c r="D90" s="52">
        <f t="shared" ca="1" si="5"/>
        <v>79</v>
      </c>
      <c r="E90" s="32">
        <v>2.0833333333333332E-2</v>
      </c>
    </row>
    <row r="91" spans="1:8" x14ac:dyDescent="0.2">
      <c r="A91" s="50">
        <v>42339</v>
      </c>
      <c r="B91" s="36" t="str">
        <f>INDEX(学习总体!A:A,MATCH(表2[[#This Row],[科目]],学习总体!C:C,0))</f>
        <v>Python</v>
      </c>
      <c r="C91" t="s">
        <v>150</v>
      </c>
      <c r="D91" s="52">
        <f t="shared" ca="1" si="5"/>
        <v>79</v>
      </c>
      <c r="E91" s="32">
        <v>8.3333333333333329E-2</v>
      </c>
      <c r="F91" s="38" t="s">
        <v>162</v>
      </c>
    </row>
    <row r="92" spans="1:8" x14ac:dyDescent="0.2">
      <c r="A92" s="50">
        <v>42340</v>
      </c>
      <c r="B92" s="36" t="str">
        <f>INDEX(学习总体!A:A,MATCH(表2[[#This Row],[科目]],学习总体!C:C,0))</f>
        <v>Excel</v>
      </c>
      <c r="C92" t="s">
        <v>130</v>
      </c>
      <c r="D92" s="52">
        <f t="shared" ca="1" si="5"/>
        <v>78</v>
      </c>
      <c r="E92" s="32">
        <v>4.1666666666666664E-2</v>
      </c>
    </row>
    <row r="93" spans="1:8" x14ac:dyDescent="0.2">
      <c r="A93" s="50">
        <v>42340</v>
      </c>
      <c r="B93" s="36" t="str">
        <f>INDEX(学习总体!A:A,MATCH(表2[[#This Row],[科目]],学习总体!C:C,0))</f>
        <v>字帖-英语</v>
      </c>
      <c r="C93" t="s">
        <v>86</v>
      </c>
      <c r="D93" s="52">
        <f t="shared" ca="1" si="5"/>
        <v>78</v>
      </c>
      <c r="E93" s="32">
        <v>2.4305555555555556E-2</v>
      </c>
    </row>
    <row r="94" spans="1:8" x14ac:dyDescent="0.2">
      <c r="A94" s="50">
        <v>42340</v>
      </c>
      <c r="B94" s="36" t="str">
        <f>INDEX(学习总体!A:A,MATCH(表2[[#This Row],[科目]],学习总体!C:C,0))</f>
        <v>English</v>
      </c>
      <c r="C94" t="s">
        <v>117</v>
      </c>
      <c r="D94" s="52">
        <f t="shared" ref="D94:D102" ca="1" si="6">TODAY()-A94</f>
        <v>78</v>
      </c>
      <c r="E94" s="32">
        <v>4.1666666666666664E-2</v>
      </c>
    </row>
    <row r="95" spans="1:8" x14ac:dyDescent="0.2">
      <c r="A95" s="50">
        <v>42340</v>
      </c>
      <c r="B95" s="36" t="str">
        <f>INDEX(学习总体!A:A,MATCH(表2[[#This Row],[科目]],学习总体!C:C,0))</f>
        <v>Python</v>
      </c>
      <c r="C95" t="s">
        <v>150</v>
      </c>
      <c r="D95" s="52">
        <f t="shared" ca="1" si="6"/>
        <v>78</v>
      </c>
      <c r="E95" s="32">
        <v>6.25E-2</v>
      </c>
    </row>
    <row r="96" spans="1:8" x14ac:dyDescent="0.2">
      <c r="A96" s="50">
        <v>42341</v>
      </c>
      <c r="B96" s="36" t="str">
        <f>INDEX(学习总体!A:A,MATCH(表2[[#This Row],[科目]],学习总体!C:C,0))</f>
        <v>English</v>
      </c>
      <c r="C96" t="s">
        <v>117</v>
      </c>
      <c r="D96" s="52">
        <f t="shared" ca="1" si="6"/>
        <v>77</v>
      </c>
      <c r="E96" s="32">
        <v>2.7777777777777776E-2</v>
      </c>
    </row>
    <row r="97" spans="1:6" x14ac:dyDescent="0.2">
      <c r="A97" s="50">
        <v>42341</v>
      </c>
      <c r="B97" s="36" t="str">
        <f>INDEX(学习总体!A:A,MATCH(表2[[#This Row],[科目]],学习总体!C:C,0))</f>
        <v>字帖-英语</v>
      </c>
      <c r="C97" t="s">
        <v>86</v>
      </c>
      <c r="D97" s="52">
        <f t="shared" ca="1" si="6"/>
        <v>77</v>
      </c>
      <c r="E97" s="32">
        <v>3.125E-2</v>
      </c>
    </row>
    <row r="98" spans="1:6" x14ac:dyDescent="0.2">
      <c r="A98" s="50">
        <v>42341</v>
      </c>
      <c r="B98" s="36" t="str">
        <f>INDEX(学习总体!A:A,MATCH(表2[[#This Row],[科目]],学习总体!C:C,0))</f>
        <v>Excel</v>
      </c>
      <c r="C98" t="s">
        <v>130</v>
      </c>
      <c r="D98" s="52">
        <f t="shared" ca="1" si="6"/>
        <v>77</v>
      </c>
      <c r="E98" s="32">
        <v>2.0833333333333332E-2</v>
      </c>
    </row>
    <row r="99" spans="1:6" x14ac:dyDescent="0.2">
      <c r="A99" s="50">
        <v>42342</v>
      </c>
      <c r="B99" s="36" t="str">
        <f>INDEX(学习总体!A:A,MATCH(表2[[#This Row],[科目]],学习总体!C:C,0))</f>
        <v>English</v>
      </c>
      <c r="C99" t="s">
        <v>117</v>
      </c>
      <c r="D99" s="52">
        <f t="shared" ca="1" si="6"/>
        <v>76</v>
      </c>
      <c r="E99" s="32">
        <v>2.0833333333333332E-2</v>
      </c>
    </row>
    <row r="100" spans="1:6" x14ac:dyDescent="0.2">
      <c r="A100" s="50">
        <v>42342</v>
      </c>
      <c r="B100" s="36" t="str">
        <f>INDEX(学习总体!A:A,MATCH(表2[[#This Row],[科目]],学习总体!C:C,0))</f>
        <v>字帖-英语</v>
      </c>
      <c r="C100" t="s">
        <v>86</v>
      </c>
      <c r="D100" s="52">
        <f t="shared" ca="1" si="6"/>
        <v>76</v>
      </c>
      <c r="E100" s="32">
        <v>2.0833333333333332E-2</v>
      </c>
    </row>
    <row r="101" spans="1:6" x14ac:dyDescent="0.2">
      <c r="A101" s="50">
        <v>42342</v>
      </c>
      <c r="B101" s="36" t="str">
        <f>INDEX(学习总体!A:A,MATCH(表2[[#This Row],[科目]],学习总体!C:C,0))</f>
        <v>Excel</v>
      </c>
      <c r="C101" t="s">
        <v>130</v>
      </c>
      <c r="D101" s="52">
        <f ca="1">TODAY()-A101</f>
        <v>76</v>
      </c>
      <c r="E101" s="32">
        <v>3.125E-2</v>
      </c>
    </row>
    <row r="102" spans="1:6" x14ac:dyDescent="0.2">
      <c r="A102" s="50">
        <v>42344</v>
      </c>
      <c r="B102" s="36" t="str">
        <f>INDEX(学习总体!A:A,MATCH(表2[[#This Row],[科目]],学习总体!C:C,0))</f>
        <v>Python</v>
      </c>
      <c r="C102" t="s">
        <v>166</v>
      </c>
      <c r="D102" s="52">
        <f t="shared" ca="1" si="6"/>
        <v>74</v>
      </c>
      <c r="E102" s="32">
        <v>0.16666666666666666</v>
      </c>
      <c r="F102" s="39" t="s">
        <v>168</v>
      </c>
    </row>
    <row r="103" spans="1:6" x14ac:dyDescent="0.2">
      <c r="A103" s="50">
        <v>42345</v>
      </c>
      <c r="B103" s="36" t="str">
        <f>INDEX(学习总体!A:A,MATCH(表2[[#This Row],[科目]],学习总体!C:C,0))</f>
        <v>Python</v>
      </c>
      <c r="C103" t="s">
        <v>166</v>
      </c>
      <c r="D103" s="52">
        <f t="shared" ref="D103:D109" ca="1" si="7">TODAY()-A103</f>
        <v>73</v>
      </c>
      <c r="E103" s="32">
        <v>0.10416666666666667</v>
      </c>
    </row>
    <row r="104" spans="1:6" x14ac:dyDescent="0.2">
      <c r="A104" s="50">
        <v>42345</v>
      </c>
      <c r="B104" s="36" t="str">
        <f>INDEX(学习总体!A:A,MATCH(表2[[#This Row],[科目]],学习总体!C:C,0))</f>
        <v>字帖-英语</v>
      </c>
      <c r="C104" t="s">
        <v>86</v>
      </c>
      <c r="D104" s="52">
        <f t="shared" ca="1" si="7"/>
        <v>73</v>
      </c>
      <c r="E104" s="32">
        <v>2.0833333333333332E-2</v>
      </c>
    </row>
    <row r="105" spans="1:6" x14ac:dyDescent="0.2">
      <c r="A105" s="50">
        <v>42346</v>
      </c>
      <c r="B105" s="36" t="str">
        <f>INDEX(学习总体!A:A,MATCH(表2[[#This Row],[科目]],学习总体!C:C,0))</f>
        <v>字帖-英语</v>
      </c>
      <c r="C105" t="s">
        <v>86</v>
      </c>
      <c r="D105" s="52">
        <f t="shared" ca="1" si="7"/>
        <v>72</v>
      </c>
      <c r="E105" s="32">
        <v>2.0833333333333332E-2</v>
      </c>
    </row>
    <row r="106" spans="1:6" x14ac:dyDescent="0.2">
      <c r="A106" s="50">
        <v>42347</v>
      </c>
      <c r="B106" s="36" t="str">
        <f>INDEX(学习总体!A:A,MATCH(表2[[#This Row],[科目]],学习总体!C:C,0))</f>
        <v>Python</v>
      </c>
      <c r="C106" t="s">
        <v>166</v>
      </c>
      <c r="D106" s="52">
        <f t="shared" ca="1" si="7"/>
        <v>71</v>
      </c>
      <c r="E106" s="32">
        <v>0.10416666666666667</v>
      </c>
      <c r="F106" s="39" t="s">
        <v>170</v>
      </c>
    </row>
    <row r="107" spans="1:6" x14ac:dyDescent="0.2">
      <c r="A107" s="50">
        <v>42348</v>
      </c>
      <c r="B107" s="36" t="str">
        <f>INDEX(学习总体!A:A,MATCH(表2[[#This Row],[科目]],学习总体!C:C,0))</f>
        <v>Python</v>
      </c>
      <c r="C107" t="s">
        <v>166</v>
      </c>
      <c r="D107" s="52">
        <f t="shared" ca="1" si="7"/>
        <v>70</v>
      </c>
      <c r="E107" s="32">
        <v>0.10416666666666667</v>
      </c>
      <c r="F107" s="39" t="s">
        <v>170</v>
      </c>
    </row>
    <row r="108" spans="1:6" x14ac:dyDescent="0.2">
      <c r="A108" s="50">
        <v>42352</v>
      </c>
      <c r="B108" s="36" t="str">
        <f>INDEX(学习总体!A:A,MATCH(表2[[#This Row],[科目]],学习总体!C:C,0))</f>
        <v>字帖-英语</v>
      </c>
      <c r="C108" t="s">
        <v>86</v>
      </c>
      <c r="D108" s="52">
        <f t="shared" ca="1" si="7"/>
        <v>66</v>
      </c>
      <c r="E108" s="32">
        <v>3.125E-2</v>
      </c>
    </row>
    <row r="109" spans="1:6" x14ac:dyDescent="0.2">
      <c r="A109" s="50">
        <v>42352</v>
      </c>
      <c r="B109" s="36" t="str">
        <f>INDEX(学习总体!A:A,MATCH(表2[[#This Row],[科目]],学习总体!C:C,0))</f>
        <v>Python</v>
      </c>
      <c r="C109" t="s">
        <v>33</v>
      </c>
      <c r="D109" s="52">
        <f t="shared" ca="1" si="7"/>
        <v>66</v>
      </c>
      <c r="F109" s="39" t="s">
        <v>171</v>
      </c>
    </row>
    <row r="110" spans="1:6" x14ac:dyDescent="0.2">
      <c r="A110" s="50">
        <v>42353</v>
      </c>
      <c r="B110" s="36" t="str">
        <f>INDEX(学习总体!A:A,MATCH(表2[[#This Row],[科目]],学习总体!C:C,0))</f>
        <v>字帖-英语</v>
      </c>
      <c r="C110" t="s">
        <v>86</v>
      </c>
      <c r="D110" s="52">
        <f t="shared" ref="D110:D115" ca="1" si="8">TODAY()-A110</f>
        <v>65</v>
      </c>
      <c r="E110" s="32">
        <v>3.125E-2</v>
      </c>
    </row>
    <row r="111" spans="1:6" x14ac:dyDescent="0.2">
      <c r="A111" s="50">
        <v>42353</v>
      </c>
      <c r="B111" s="36" t="str">
        <f>INDEX(学习总体!A:A,MATCH(表2[[#This Row],[科目]],学习总体!C:C,0))</f>
        <v>Python</v>
      </c>
      <c r="C111" t="s">
        <v>173</v>
      </c>
      <c r="D111" s="52">
        <f t="shared" ca="1" si="8"/>
        <v>65</v>
      </c>
      <c r="E111" s="32">
        <v>0.20833333333333334</v>
      </c>
    </row>
    <row r="112" spans="1:6" x14ac:dyDescent="0.2">
      <c r="A112" s="50">
        <v>42354</v>
      </c>
      <c r="B112" s="36" t="str">
        <f>INDEX(学习总体!A:A,MATCH(表2[[#This Row],[科目]],学习总体!C:C,0))</f>
        <v>字帖-英语</v>
      </c>
      <c r="C112" t="s">
        <v>86</v>
      </c>
      <c r="D112" s="52">
        <f t="shared" ca="1" si="8"/>
        <v>64</v>
      </c>
      <c r="E112" s="32">
        <v>2.0833333333333332E-2</v>
      </c>
    </row>
    <row r="113" spans="1:6" x14ac:dyDescent="0.2">
      <c r="A113" s="50">
        <v>42354</v>
      </c>
      <c r="B113" s="36" t="str">
        <f>INDEX(学习总体!A:A,MATCH(表2[[#This Row],[科目]],学习总体!C:C,0))</f>
        <v>English</v>
      </c>
      <c r="C113" t="s">
        <v>117</v>
      </c>
      <c r="D113" s="52">
        <f t="shared" ca="1" si="8"/>
        <v>64</v>
      </c>
      <c r="E113" s="32">
        <v>4.1666666666666664E-2</v>
      </c>
    </row>
    <row r="114" spans="1:6" x14ac:dyDescent="0.2">
      <c r="A114" s="50">
        <v>42356</v>
      </c>
      <c r="B114" s="36" t="str">
        <f>INDEX(学习总体!A:A,MATCH(表2[[#This Row],[科目]],学习总体!C:C,0))</f>
        <v>English</v>
      </c>
      <c r="C114" t="s">
        <v>117</v>
      </c>
      <c r="D114" s="52">
        <f t="shared" ca="1" si="8"/>
        <v>62</v>
      </c>
      <c r="E114" s="32">
        <v>3.125E-2</v>
      </c>
    </row>
    <row r="115" spans="1:6" x14ac:dyDescent="0.2">
      <c r="A115" s="50">
        <v>42414</v>
      </c>
      <c r="B115" s="61" t="e">
        <f>INDEX(学习总体!A:A,MATCH(表2[[#This Row],[科目]],学习总体!C:C,0))</f>
        <v>#N/A</v>
      </c>
      <c r="D115" s="52">
        <f t="shared" ca="1" si="8"/>
        <v>4</v>
      </c>
      <c r="F115" s="60"/>
    </row>
    <row r="116" spans="1:6" x14ac:dyDescent="0.2">
      <c r="D116" s="52"/>
    </row>
    <row r="117" spans="1:6" x14ac:dyDescent="0.2">
      <c r="D117" s="52"/>
    </row>
    <row r="118" spans="1:6" x14ac:dyDescent="0.2">
      <c r="D118" s="52"/>
    </row>
    <row r="119" spans="1:6" x14ac:dyDescent="0.2">
      <c r="D119" s="52"/>
    </row>
    <row r="120" spans="1:6" x14ac:dyDescent="0.2">
      <c r="D120" s="52"/>
    </row>
    <row r="121" spans="1:6" x14ac:dyDescent="0.2">
      <c r="D121" s="52"/>
    </row>
    <row r="122" spans="1:6" x14ac:dyDescent="0.2">
      <c r="D122" s="52"/>
    </row>
    <row r="123" spans="1:6" x14ac:dyDescent="0.2">
      <c r="D123" s="52"/>
    </row>
    <row r="124" spans="1:6" x14ac:dyDescent="0.2">
      <c r="D124" s="52"/>
    </row>
    <row r="125" spans="1:6" x14ac:dyDescent="0.2">
      <c r="D125" s="52"/>
    </row>
    <row r="126" spans="1:6" x14ac:dyDescent="0.2">
      <c r="D126" s="52"/>
    </row>
    <row r="127" spans="1:6" x14ac:dyDescent="0.2">
      <c r="D127" s="52"/>
    </row>
    <row r="128" spans="1:6" x14ac:dyDescent="0.2">
      <c r="D128" s="52"/>
    </row>
    <row r="130" spans="1:30" x14ac:dyDescent="0.2">
      <c r="H130" s="48" t="s">
        <v>119</v>
      </c>
      <c r="I130" s="33" t="s">
        <v>120</v>
      </c>
      <c r="J130" s="33"/>
    </row>
    <row r="131" spans="1:30" x14ac:dyDescent="0.2">
      <c r="H131" s="32">
        <f ca="1">SUMIF(D:D,0,E:E)</f>
        <v>0</v>
      </c>
      <c r="I131" s="36" t="str">
        <f ca="1">INDEX(学习总体!C:C,RANDBETWEEN(2,COUNTIF(学习总体!D:D,学习总体!D5)+1))</f>
        <v>微观经济学-中国大学MOOC</v>
      </c>
      <c r="J131" s="33"/>
    </row>
    <row r="133" spans="1:30" s="45" customFormat="1" x14ac:dyDescent="0.2">
      <c r="A133" s="49"/>
      <c r="B133" s="43" t="s">
        <v>153</v>
      </c>
      <c r="C133" s="51"/>
      <c r="D133" s="58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6" customFormat="1" x14ac:dyDescent="0.2">
      <c r="A134" s="50"/>
      <c r="B134" s="43" t="s">
        <v>163</v>
      </c>
      <c r="C134" s="47" t="s">
        <v>32</v>
      </c>
      <c r="D134" s="50">
        <v>42414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6" t="s">
        <v>190</v>
      </c>
      <c r="C135" s="33" t="s">
        <v>191</v>
      </c>
      <c r="D135" s="32"/>
      <c r="E135"/>
      <c r="F135"/>
      <c r="G135"/>
      <c r="H135"/>
      <c r="I135"/>
      <c r="J135"/>
      <c r="K135"/>
    </row>
    <row r="136" spans="1:30" x14ac:dyDescent="0.2">
      <c r="B136" s="36" t="s">
        <v>145</v>
      </c>
      <c r="C136" s="44"/>
      <c r="D136" s="32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8"/>
      <c r="E147"/>
      <c r="F147"/>
      <c r="G147"/>
      <c r="H147"/>
      <c r="I147"/>
      <c r="J147"/>
      <c r="K147"/>
    </row>
    <row r="148" spans="2:11" x14ac:dyDescent="0.2">
      <c r="D148" s="38"/>
      <c r="E148"/>
      <c r="F148"/>
      <c r="G148"/>
      <c r="H148"/>
      <c r="I148"/>
      <c r="J148"/>
      <c r="K148"/>
    </row>
    <row r="149" spans="2:11" x14ac:dyDescent="0.2">
      <c r="D149" s="38"/>
      <c r="E149"/>
      <c r="F149"/>
      <c r="G149"/>
      <c r="H149"/>
      <c r="I149"/>
      <c r="J149"/>
      <c r="K149"/>
    </row>
    <row r="150" spans="2:11" x14ac:dyDescent="0.2">
      <c r="D150" s="38"/>
      <c r="E150"/>
      <c r="F150"/>
      <c r="G150"/>
      <c r="H150"/>
      <c r="I150"/>
      <c r="J150"/>
      <c r="K150"/>
    </row>
    <row r="151" spans="2:11" x14ac:dyDescent="0.2">
      <c r="D151" s="38"/>
      <c r="J151"/>
      <c r="K151"/>
    </row>
    <row r="152" spans="2:11" x14ac:dyDescent="0.2">
      <c r="D152" s="38"/>
      <c r="J152"/>
      <c r="K152"/>
    </row>
    <row r="153" spans="2:11" x14ac:dyDescent="0.2">
      <c r="D153" s="38"/>
      <c r="J153"/>
      <c r="K153"/>
    </row>
    <row r="154" spans="2:11" x14ac:dyDescent="0.2">
      <c r="D154" s="38"/>
      <c r="J154"/>
      <c r="K154"/>
    </row>
    <row r="155" spans="2:11" x14ac:dyDescent="0.2">
      <c r="D155" s="38"/>
      <c r="J155"/>
      <c r="K155"/>
    </row>
    <row r="156" spans="2:11" x14ac:dyDescent="0.2">
      <c r="D156" s="38"/>
      <c r="J156"/>
      <c r="K156"/>
    </row>
    <row r="157" spans="2:11" x14ac:dyDescent="0.2">
      <c r="D157" s="38"/>
      <c r="J157"/>
      <c r="K157"/>
    </row>
    <row r="158" spans="2:11" x14ac:dyDescent="0.2">
      <c r="D158" s="38"/>
      <c r="J158"/>
      <c r="K158"/>
    </row>
    <row r="159" spans="2:11" x14ac:dyDescent="0.2">
      <c r="D159" s="38"/>
    </row>
    <row r="160" spans="2:11" x14ac:dyDescent="0.2">
      <c r="D160" s="38"/>
    </row>
    <row r="161" spans="4:4" x14ac:dyDescent="0.2">
      <c r="D161" s="38"/>
    </row>
    <row r="162" spans="4:4" x14ac:dyDescent="0.2">
      <c r="D162" s="38"/>
    </row>
    <row r="163" spans="4:4" x14ac:dyDescent="0.2">
      <c r="D163" s="38"/>
    </row>
    <row r="164" spans="4:4" x14ac:dyDescent="0.2">
      <c r="D164" s="38"/>
    </row>
    <row r="165" spans="4:4" x14ac:dyDescent="0.2">
      <c r="D165" s="38"/>
    </row>
    <row r="166" spans="4:4" x14ac:dyDescent="0.2">
      <c r="D166" s="38"/>
    </row>
    <row r="167" spans="4:4" x14ac:dyDescent="0.2">
      <c r="D167" s="38"/>
    </row>
    <row r="168" spans="4:4" x14ac:dyDescent="0.2">
      <c r="D168" s="38"/>
    </row>
    <row r="169" spans="4:4" x14ac:dyDescent="0.2">
      <c r="D169" s="38"/>
    </row>
    <row r="170" spans="4:4" x14ac:dyDescent="0.2">
      <c r="D170" s="38"/>
    </row>
    <row r="171" spans="4:4" x14ac:dyDescent="0.2">
      <c r="D171" s="38"/>
    </row>
    <row r="172" spans="4:4" x14ac:dyDescent="0.2">
      <c r="D172" s="38"/>
    </row>
    <row r="173" spans="4:4" x14ac:dyDescent="0.2">
      <c r="D173" s="38"/>
    </row>
    <row r="174" spans="4:4" x14ac:dyDescent="0.2">
      <c r="D174" s="38"/>
    </row>
    <row r="175" spans="4:4" x14ac:dyDescent="0.2">
      <c r="D175" s="38"/>
    </row>
    <row r="176" spans="4:4" x14ac:dyDescent="0.2">
      <c r="D176" s="38"/>
    </row>
    <row r="177" spans="4:4" x14ac:dyDescent="0.2">
      <c r="D177" s="38"/>
    </row>
    <row r="178" spans="4:4" x14ac:dyDescent="0.2">
      <c r="D178" s="38"/>
    </row>
    <row r="179" spans="4:4" x14ac:dyDescent="0.2">
      <c r="D179" s="38"/>
    </row>
    <row r="180" spans="4:4" x14ac:dyDescent="0.2">
      <c r="D180" s="38"/>
    </row>
    <row r="181" spans="4:4" x14ac:dyDescent="0.2">
      <c r="D181" s="38"/>
    </row>
    <row r="182" spans="4:4" x14ac:dyDescent="0.2">
      <c r="D182" s="38"/>
    </row>
    <row r="183" spans="4:4" x14ac:dyDescent="0.2">
      <c r="D183" s="38"/>
    </row>
    <row r="184" spans="4:4" x14ac:dyDescent="0.2">
      <c r="D184" s="38"/>
    </row>
    <row r="185" spans="4:4" x14ac:dyDescent="0.2">
      <c r="D185" s="38"/>
    </row>
    <row r="186" spans="4:4" x14ac:dyDescent="0.2">
      <c r="D186" s="38"/>
    </row>
    <row r="187" spans="4:4" x14ac:dyDescent="0.2">
      <c r="D187" s="38"/>
    </row>
    <row r="188" spans="4:4" x14ac:dyDescent="0.2">
      <c r="D188" s="38"/>
    </row>
    <row r="189" spans="4:4" x14ac:dyDescent="0.2">
      <c r="D189" s="38"/>
    </row>
    <row r="190" spans="4:4" x14ac:dyDescent="0.2">
      <c r="D190" s="38"/>
    </row>
    <row r="191" spans="4:4" x14ac:dyDescent="0.2">
      <c r="D191" s="38"/>
    </row>
    <row r="192" spans="4:4" x14ac:dyDescent="0.2">
      <c r="D192" s="38"/>
    </row>
    <row r="193" spans="4:4" x14ac:dyDescent="0.2">
      <c r="D193" s="38"/>
    </row>
    <row r="194" spans="4:4" x14ac:dyDescent="0.2">
      <c r="D194" s="38"/>
    </row>
    <row r="195" spans="4:4" x14ac:dyDescent="0.2">
      <c r="D195" s="38"/>
    </row>
    <row r="196" spans="4:4" x14ac:dyDescent="0.2">
      <c r="D196" s="38"/>
    </row>
    <row r="197" spans="4:4" x14ac:dyDescent="0.2">
      <c r="D197" s="38"/>
    </row>
    <row r="198" spans="4:4" x14ac:dyDescent="0.2">
      <c r="D198" s="38"/>
    </row>
    <row r="199" spans="4:4" x14ac:dyDescent="0.2">
      <c r="D199" s="38"/>
    </row>
    <row r="200" spans="4:4" x14ac:dyDescent="0.2">
      <c r="D200" s="38"/>
    </row>
    <row r="201" spans="4:4" x14ac:dyDescent="0.2">
      <c r="D201" s="38"/>
    </row>
    <row r="202" spans="4:4" x14ac:dyDescent="0.2">
      <c r="D202" s="38"/>
    </row>
    <row r="203" spans="4:4" x14ac:dyDescent="0.2">
      <c r="D203" s="38"/>
    </row>
    <row r="204" spans="4:4" x14ac:dyDescent="0.2">
      <c r="D204" s="38"/>
    </row>
    <row r="205" spans="4:4" x14ac:dyDescent="0.2">
      <c r="D205" s="38"/>
    </row>
    <row r="206" spans="4:4" x14ac:dyDescent="0.2">
      <c r="D206" s="38"/>
    </row>
    <row r="207" spans="4:4" x14ac:dyDescent="0.2">
      <c r="D207" s="38"/>
    </row>
    <row r="208" spans="4:4" x14ac:dyDescent="0.2">
      <c r="D208" s="38"/>
    </row>
    <row r="209" spans="4:4" x14ac:dyDescent="0.2">
      <c r="D209" s="38"/>
    </row>
    <row r="210" spans="4:4" x14ac:dyDescent="0.2">
      <c r="D210" s="38"/>
    </row>
    <row r="211" spans="4:4" x14ac:dyDescent="0.2">
      <c r="D211" s="38"/>
    </row>
    <row r="212" spans="4:4" x14ac:dyDescent="0.2">
      <c r="D212" s="38"/>
    </row>
  </sheetData>
  <phoneticPr fontId="4" type="noConversion"/>
  <conditionalFormatting sqref="H133:H134 A132:H132 A147:C212 E151:H212 A130:G131 A133:A146 B140:B146 A1:H98 A102 C102:H102 B99:B102 A103:H129 A213:H1048576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09"/>
  <sheetViews>
    <sheetView tabSelected="1" topLeftCell="A98" workbookViewId="0">
      <selection activeCell="G108" sqref="G107:G108"/>
    </sheetView>
  </sheetViews>
  <sheetFormatPr defaultRowHeight="14.25" x14ac:dyDescent="0.2"/>
  <cols>
    <col min="1" max="1" width="11.125" style="55" bestFit="1" customWidth="1"/>
    <col min="3" max="3" width="11" style="38" customWidth="1"/>
    <col min="4" max="4" width="10.25" style="40" customWidth="1"/>
    <col min="5" max="5" width="9" style="56"/>
    <col min="7" max="7" width="16.5" customWidth="1"/>
    <col min="8" max="8" width="9.125" style="38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4" t="s">
        <v>169</v>
      </c>
      <c r="B1" s="37" t="s">
        <v>135</v>
      </c>
      <c r="C1" s="39" t="s">
        <v>136</v>
      </c>
      <c r="D1" s="40" t="s">
        <v>149</v>
      </c>
      <c r="E1" s="57" t="s">
        <v>177</v>
      </c>
      <c r="G1" s="38"/>
      <c r="H1"/>
    </row>
    <row r="2" spans="1:15" x14ac:dyDescent="0.2">
      <c r="A2" s="55">
        <v>42323</v>
      </c>
      <c r="B2" t="s">
        <v>139</v>
      </c>
      <c r="C2" s="60">
        <v>30</v>
      </c>
      <c r="D2" s="40">
        <f t="shared" ref="D2:D33" ca="1" si="0">TODAY()-ROUNDDOWN(A2,0)</f>
        <v>95</v>
      </c>
      <c r="E2" s="56">
        <f>COUNTIFS(A:A,表1[[#This Row],[时间]],B:B,表1[[#This Row],[项目]])</f>
        <v>2</v>
      </c>
      <c r="G2" s="38"/>
      <c r="H2"/>
    </row>
    <row r="3" spans="1:15" x14ac:dyDescent="0.2">
      <c r="A3" s="55">
        <v>42323</v>
      </c>
      <c r="B3" t="s">
        <v>140</v>
      </c>
      <c r="C3" s="60">
        <v>50</v>
      </c>
      <c r="D3" s="40">
        <f t="shared" ca="1" si="0"/>
        <v>95</v>
      </c>
      <c r="E3" s="56">
        <f>COUNTIFS(A:A,表1[[#This Row],[时间]],B:B,表1[[#This Row],[项目]])</f>
        <v>2</v>
      </c>
      <c r="G3" s="38"/>
      <c r="H3"/>
    </row>
    <row r="4" spans="1:15" x14ac:dyDescent="0.2">
      <c r="A4" s="55">
        <v>42323</v>
      </c>
      <c r="B4" t="s">
        <v>137</v>
      </c>
      <c r="C4" s="60">
        <v>13</v>
      </c>
      <c r="D4" s="40">
        <f t="shared" ca="1" si="0"/>
        <v>95</v>
      </c>
      <c r="E4" s="56">
        <f>COUNTIFS(A:A,表1[[#This Row],[时间]],B:B,表1[[#This Row],[项目]])</f>
        <v>2</v>
      </c>
      <c r="G4" s="38"/>
      <c r="H4"/>
    </row>
    <row r="5" spans="1:15" x14ac:dyDescent="0.2">
      <c r="A5" s="55">
        <v>42323</v>
      </c>
      <c r="B5" t="s">
        <v>138</v>
      </c>
      <c r="C5" s="60">
        <v>10</v>
      </c>
      <c r="D5" s="40">
        <f t="shared" ca="1" si="0"/>
        <v>95</v>
      </c>
      <c r="E5" s="56">
        <f>COUNTIFS(A:A,表1[[#This Row],[时间]],B:B,表1[[#This Row],[项目]])</f>
        <v>2</v>
      </c>
      <c r="G5" s="38"/>
      <c r="H5"/>
    </row>
    <row r="6" spans="1:15" x14ac:dyDescent="0.2">
      <c r="A6" s="55">
        <v>42323</v>
      </c>
      <c r="B6" t="s">
        <v>139</v>
      </c>
      <c r="C6" s="60">
        <v>30</v>
      </c>
      <c r="D6" s="40">
        <f t="shared" ca="1" si="0"/>
        <v>95</v>
      </c>
      <c r="E6" s="56">
        <f>COUNTIFS(A:A,表1[[#This Row],[时间]],B:B,表1[[#This Row],[项目]])</f>
        <v>2</v>
      </c>
      <c r="G6" s="38"/>
      <c r="H6"/>
    </row>
    <row r="7" spans="1:15" x14ac:dyDescent="0.2">
      <c r="A7" s="55">
        <v>42323</v>
      </c>
      <c r="B7" t="s">
        <v>140</v>
      </c>
      <c r="C7" s="60">
        <v>45</v>
      </c>
      <c r="D7" s="40">
        <f t="shared" ca="1" si="0"/>
        <v>95</v>
      </c>
      <c r="E7" s="56">
        <f>COUNTIFS(A:A,表1[[#This Row],[时间]],B:B,表1[[#This Row],[项目]])</f>
        <v>2</v>
      </c>
      <c r="G7" s="38"/>
      <c r="H7"/>
    </row>
    <row r="8" spans="1:15" x14ac:dyDescent="0.2">
      <c r="A8" s="55">
        <v>42323</v>
      </c>
      <c r="B8" t="s">
        <v>137</v>
      </c>
      <c r="C8" s="60">
        <v>20</v>
      </c>
      <c r="D8" s="40">
        <f t="shared" ca="1" si="0"/>
        <v>95</v>
      </c>
      <c r="E8" s="56">
        <f>COUNTIFS(A:A,表1[[#This Row],[时间]],B:B,表1[[#This Row],[项目]])</f>
        <v>2</v>
      </c>
      <c r="G8" s="38"/>
      <c r="H8"/>
    </row>
    <row r="9" spans="1:15" x14ac:dyDescent="0.2">
      <c r="A9" s="55">
        <v>42323</v>
      </c>
      <c r="B9" t="s">
        <v>138</v>
      </c>
      <c r="C9" s="60">
        <v>15</v>
      </c>
      <c r="D9" s="40">
        <f t="shared" ca="1" si="0"/>
        <v>95</v>
      </c>
      <c r="E9" s="56">
        <f>COUNTIFS(A:A,表1[[#This Row],[时间]],B:B,表1[[#This Row],[项目]])</f>
        <v>2</v>
      </c>
      <c r="G9" s="38"/>
      <c r="H9"/>
    </row>
    <row r="10" spans="1:15" x14ac:dyDescent="0.2">
      <c r="A10" s="55">
        <v>42325</v>
      </c>
      <c r="B10" t="s">
        <v>138</v>
      </c>
      <c r="C10" s="60">
        <v>20</v>
      </c>
      <c r="D10" s="40">
        <f t="shared" ca="1" si="0"/>
        <v>93</v>
      </c>
      <c r="E10" s="56">
        <f>COUNTIFS(A:A,表1[[#This Row],[时间]],B:B,表1[[#This Row],[项目]])</f>
        <v>3</v>
      </c>
      <c r="G10" s="38"/>
      <c r="H10"/>
    </row>
    <row r="11" spans="1:15" x14ac:dyDescent="0.2">
      <c r="A11" s="55">
        <v>42325</v>
      </c>
      <c r="B11" t="s">
        <v>138</v>
      </c>
      <c r="C11" s="60">
        <v>15</v>
      </c>
      <c r="D11" s="40">
        <f t="shared" ca="1" si="0"/>
        <v>93</v>
      </c>
      <c r="E11" s="56">
        <f>COUNTIFS(A:A,表1[[#This Row],[时间]],B:B,表1[[#This Row],[项目]])</f>
        <v>3</v>
      </c>
      <c r="G11" s="38"/>
      <c r="H11"/>
    </row>
    <row r="12" spans="1:15" x14ac:dyDescent="0.2">
      <c r="A12" s="55">
        <v>42325</v>
      </c>
      <c r="B12" t="s">
        <v>140</v>
      </c>
      <c r="C12" s="60">
        <v>35</v>
      </c>
      <c r="D12" s="40">
        <f t="shared" ca="1" si="0"/>
        <v>93</v>
      </c>
      <c r="E12" s="56">
        <f>COUNTIFS(A:A,表1[[#This Row],[时间]],B:B,表1[[#This Row],[项目]])</f>
        <v>1</v>
      </c>
      <c r="G12" s="38"/>
      <c r="H12"/>
    </row>
    <row r="13" spans="1:15" x14ac:dyDescent="0.2">
      <c r="A13" s="55">
        <v>42325</v>
      </c>
      <c r="B13" t="s">
        <v>137</v>
      </c>
      <c r="C13" s="60">
        <v>20</v>
      </c>
      <c r="D13" s="40">
        <f t="shared" ca="1" si="0"/>
        <v>93</v>
      </c>
      <c r="E13" s="56">
        <f>COUNTIFS(A:A,表1[[#This Row],[时间]],B:B,表1[[#This Row],[项目]])</f>
        <v>1</v>
      </c>
      <c r="G13" s="38"/>
      <c r="H13"/>
    </row>
    <row r="14" spans="1:15" x14ac:dyDescent="0.2">
      <c r="A14" s="55">
        <v>42325</v>
      </c>
      <c r="B14" t="s">
        <v>138</v>
      </c>
      <c r="C14" s="60">
        <v>15</v>
      </c>
      <c r="D14" s="40">
        <f t="shared" ca="1" si="0"/>
        <v>93</v>
      </c>
      <c r="E14" s="56">
        <f>COUNTIFS(A:A,表1[[#This Row],[时间]],B:B,表1[[#This Row],[项目]])</f>
        <v>3</v>
      </c>
      <c r="G14" s="38"/>
      <c r="H14"/>
    </row>
    <row r="15" spans="1:15" x14ac:dyDescent="0.2">
      <c r="A15" s="55">
        <v>42325</v>
      </c>
      <c r="B15" t="s">
        <v>139</v>
      </c>
      <c r="C15" s="60">
        <v>35</v>
      </c>
      <c r="D15" s="40">
        <f t="shared" ca="1" si="0"/>
        <v>93</v>
      </c>
      <c r="E15" s="56">
        <f>COUNTIFS(A:A,表1[[#This Row],[时间]],B:B,表1[[#This Row],[项目]])</f>
        <v>1</v>
      </c>
      <c r="G15" s="38"/>
      <c r="H15"/>
      <c r="J15" s="38"/>
      <c r="K15" s="38"/>
      <c r="L15" s="38"/>
      <c r="M15" s="38"/>
      <c r="N15" s="38"/>
      <c r="O15" s="38"/>
    </row>
    <row r="16" spans="1:15" x14ac:dyDescent="0.2">
      <c r="A16" s="55">
        <v>42326</v>
      </c>
      <c r="B16" t="s">
        <v>157</v>
      </c>
      <c r="C16" s="60">
        <v>1</v>
      </c>
      <c r="D16" s="40">
        <f t="shared" ca="1" si="0"/>
        <v>92</v>
      </c>
      <c r="E16" s="56">
        <f>COUNTIFS(A:A,表1[[#This Row],[时间]],B:B,表1[[#This Row],[项目]])</f>
        <v>1</v>
      </c>
      <c r="G16" s="38"/>
      <c r="H16"/>
      <c r="J16" s="38"/>
      <c r="K16" s="38"/>
      <c r="L16" s="38"/>
      <c r="M16" s="38"/>
      <c r="N16" s="38"/>
      <c r="O16" s="38"/>
    </row>
    <row r="17" spans="1:15" x14ac:dyDescent="0.2">
      <c r="A17" s="55">
        <v>42327</v>
      </c>
      <c r="B17" t="s">
        <v>157</v>
      </c>
      <c r="C17" s="60">
        <v>1</v>
      </c>
      <c r="D17" s="40">
        <f t="shared" ca="1" si="0"/>
        <v>91</v>
      </c>
      <c r="E17" s="56">
        <f>COUNTIFS(A:A,表1[[#This Row],[时间]],B:B,表1[[#This Row],[项目]])</f>
        <v>1</v>
      </c>
      <c r="G17" s="38"/>
      <c r="H17"/>
      <c r="J17" s="36"/>
      <c r="K17" s="38"/>
      <c r="L17" s="38"/>
      <c r="M17" s="38"/>
      <c r="N17" s="38"/>
      <c r="O17" s="38"/>
    </row>
    <row r="18" spans="1:15" x14ac:dyDescent="0.2">
      <c r="A18" s="55">
        <v>42327</v>
      </c>
      <c r="B18" t="s">
        <v>138</v>
      </c>
      <c r="C18" s="60">
        <v>15</v>
      </c>
      <c r="D18" s="40">
        <f t="shared" ca="1" si="0"/>
        <v>91</v>
      </c>
      <c r="E18" s="56">
        <f>COUNTIFS(A:A,表1[[#This Row],[时间]],B:B,表1[[#This Row],[项目]])</f>
        <v>1</v>
      </c>
      <c r="G18" s="38"/>
      <c r="H18"/>
      <c r="M18" s="38"/>
      <c r="N18" s="38"/>
      <c r="O18" s="38"/>
    </row>
    <row r="19" spans="1:15" x14ac:dyDescent="0.2">
      <c r="A19" s="55">
        <v>42328</v>
      </c>
      <c r="B19" t="s">
        <v>138</v>
      </c>
      <c r="C19" s="60">
        <v>10</v>
      </c>
      <c r="D19" s="40">
        <f t="shared" ca="1" si="0"/>
        <v>90</v>
      </c>
      <c r="E19" s="56">
        <f>COUNTIFS(A:A,表1[[#This Row],[时间]],B:B,表1[[#This Row],[项目]])</f>
        <v>3</v>
      </c>
      <c r="G19" s="38"/>
      <c r="H19"/>
    </row>
    <row r="20" spans="1:15" x14ac:dyDescent="0.2">
      <c r="A20" s="55">
        <v>42328</v>
      </c>
      <c r="B20" t="s">
        <v>138</v>
      </c>
      <c r="C20" s="60">
        <v>15</v>
      </c>
      <c r="D20" s="40">
        <f t="shared" ca="1" si="0"/>
        <v>90</v>
      </c>
      <c r="E20" s="56">
        <f>COUNTIFS(A:A,表1[[#This Row],[时间]],B:B,表1[[#This Row],[项目]])</f>
        <v>3</v>
      </c>
      <c r="G20" s="38"/>
      <c r="H20"/>
    </row>
    <row r="21" spans="1:15" x14ac:dyDescent="0.2">
      <c r="A21" s="55">
        <v>42328</v>
      </c>
      <c r="B21" t="s">
        <v>138</v>
      </c>
      <c r="C21" s="60">
        <v>16</v>
      </c>
      <c r="D21" s="40">
        <f t="shared" ca="1" si="0"/>
        <v>90</v>
      </c>
      <c r="E21" s="56">
        <f>COUNTIFS(A:A,表1[[#This Row],[时间]],B:B,表1[[#This Row],[项目]])</f>
        <v>3</v>
      </c>
      <c r="G21" s="38"/>
      <c r="H21"/>
    </row>
    <row r="22" spans="1:15" x14ac:dyDescent="0.2">
      <c r="A22" s="55">
        <v>42330</v>
      </c>
      <c r="B22" t="s">
        <v>159</v>
      </c>
      <c r="C22" s="60">
        <v>10</v>
      </c>
      <c r="D22" s="40">
        <f t="shared" ca="1" si="0"/>
        <v>88</v>
      </c>
      <c r="E22" s="56">
        <f>COUNTIFS(A:A,表1[[#This Row],[时间]],B:B,表1[[#This Row],[项目]])</f>
        <v>5</v>
      </c>
      <c r="G22" s="38"/>
      <c r="H22"/>
    </row>
    <row r="23" spans="1:15" x14ac:dyDescent="0.2">
      <c r="A23" s="55">
        <v>42330</v>
      </c>
      <c r="B23" t="s">
        <v>159</v>
      </c>
      <c r="C23" s="60">
        <v>10</v>
      </c>
      <c r="D23" s="40">
        <f t="shared" ca="1" si="0"/>
        <v>88</v>
      </c>
      <c r="E23" s="56">
        <f>COUNTIFS(A:A,表1[[#This Row],[时间]],B:B,表1[[#This Row],[项目]])</f>
        <v>5</v>
      </c>
      <c r="G23" s="38"/>
      <c r="H23"/>
    </row>
    <row r="24" spans="1:15" x14ac:dyDescent="0.2">
      <c r="A24" s="55">
        <v>42330</v>
      </c>
      <c r="B24" t="s">
        <v>159</v>
      </c>
      <c r="C24" s="60">
        <v>10</v>
      </c>
      <c r="D24" s="40">
        <f t="shared" ca="1" si="0"/>
        <v>88</v>
      </c>
      <c r="E24" s="56">
        <f>COUNTIFS(A:A,表1[[#This Row],[时间]],B:B,表1[[#This Row],[项目]])</f>
        <v>5</v>
      </c>
      <c r="G24" s="38"/>
      <c r="H24"/>
    </row>
    <row r="25" spans="1:15" x14ac:dyDescent="0.2">
      <c r="A25" s="55">
        <v>42330</v>
      </c>
      <c r="B25" t="s">
        <v>159</v>
      </c>
      <c r="C25" s="60">
        <v>10</v>
      </c>
      <c r="D25" s="40">
        <f t="shared" ca="1" si="0"/>
        <v>88</v>
      </c>
      <c r="E25" s="56">
        <f>COUNTIFS(A:A,表1[[#This Row],[时间]],B:B,表1[[#This Row],[项目]])</f>
        <v>5</v>
      </c>
      <c r="H25"/>
    </row>
    <row r="26" spans="1:15" x14ac:dyDescent="0.2">
      <c r="A26" s="55">
        <v>42330</v>
      </c>
      <c r="B26" t="s">
        <v>159</v>
      </c>
      <c r="C26" s="60">
        <v>10</v>
      </c>
      <c r="D26" s="40">
        <f t="shared" ca="1" si="0"/>
        <v>88</v>
      </c>
      <c r="E26" s="56">
        <f>COUNTIFS(A:A,表1[[#This Row],[时间]],B:B,表1[[#This Row],[项目]])</f>
        <v>5</v>
      </c>
      <c r="G26" s="38"/>
      <c r="H26"/>
    </row>
    <row r="27" spans="1:15" x14ac:dyDescent="0.2">
      <c r="A27" s="55">
        <v>42331</v>
      </c>
      <c r="B27" t="s">
        <v>157</v>
      </c>
      <c r="C27" s="60">
        <v>1</v>
      </c>
      <c r="D27" s="40">
        <f t="shared" ca="1" si="0"/>
        <v>87</v>
      </c>
      <c r="E27" s="56">
        <f>COUNTIFS(A:A,表1[[#This Row],[时间]],B:B,表1[[#This Row],[项目]])</f>
        <v>1</v>
      </c>
      <c r="G27" s="38"/>
      <c r="H27"/>
    </row>
    <row r="28" spans="1:15" x14ac:dyDescent="0.2">
      <c r="A28" s="55">
        <v>42331</v>
      </c>
      <c r="B28" t="s">
        <v>138</v>
      </c>
      <c r="C28" s="60">
        <v>17</v>
      </c>
      <c r="D28" s="40">
        <f t="shared" ca="1" si="0"/>
        <v>87</v>
      </c>
      <c r="E28" s="56">
        <f>COUNTIFS(A:A,表1[[#This Row],[时间]],B:B,表1[[#This Row],[项目]])</f>
        <v>1</v>
      </c>
      <c r="G28" s="38"/>
      <c r="H28"/>
    </row>
    <row r="29" spans="1:15" x14ac:dyDescent="0.2">
      <c r="A29" s="55">
        <v>42331</v>
      </c>
      <c r="B29" t="s">
        <v>159</v>
      </c>
      <c r="C29" s="60">
        <v>20</v>
      </c>
      <c r="D29" s="40">
        <f t="shared" ca="1" si="0"/>
        <v>87</v>
      </c>
      <c r="E29" s="56">
        <f>COUNTIFS(A:A,表1[[#This Row],[时间]],B:B,表1[[#This Row],[项目]])</f>
        <v>1</v>
      </c>
      <c r="G29" s="38"/>
      <c r="H29"/>
    </row>
    <row r="30" spans="1:15" x14ac:dyDescent="0.2">
      <c r="A30" s="55">
        <v>42332</v>
      </c>
      <c r="B30" t="s">
        <v>159</v>
      </c>
      <c r="C30" s="60">
        <v>10</v>
      </c>
      <c r="D30" s="40">
        <f t="shared" ca="1" si="0"/>
        <v>86</v>
      </c>
      <c r="E30" s="56">
        <f>COUNTIFS(A:A,表1[[#This Row],[时间]],B:B,表1[[#This Row],[项目]])</f>
        <v>1</v>
      </c>
      <c r="G30" s="38"/>
      <c r="H30"/>
    </row>
    <row r="31" spans="1:15" x14ac:dyDescent="0.2">
      <c r="A31" s="55">
        <v>42332</v>
      </c>
      <c r="B31" t="s">
        <v>138</v>
      </c>
      <c r="C31" s="60">
        <v>15</v>
      </c>
      <c r="D31" s="40">
        <f t="shared" ca="1" si="0"/>
        <v>86</v>
      </c>
      <c r="E31" s="56">
        <f>COUNTIFS(A:A,表1[[#This Row],[时间]],B:B,表1[[#This Row],[项目]])</f>
        <v>2</v>
      </c>
      <c r="G31" s="38"/>
      <c r="H31"/>
    </row>
    <row r="32" spans="1:15" x14ac:dyDescent="0.2">
      <c r="A32" s="55">
        <v>42332</v>
      </c>
      <c r="B32" t="s">
        <v>138</v>
      </c>
      <c r="C32" s="60">
        <v>18</v>
      </c>
      <c r="D32" s="40">
        <f t="shared" ca="1" si="0"/>
        <v>86</v>
      </c>
      <c r="E32" s="56">
        <f>COUNTIFS(A:A,表1[[#This Row],[时间]],B:B,表1[[#This Row],[项目]])</f>
        <v>2</v>
      </c>
      <c r="G32" s="38"/>
      <c r="H32"/>
    </row>
    <row r="33" spans="1:8" x14ac:dyDescent="0.2">
      <c r="A33" s="55">
        <v>42333</v>
      </c>
      <c r="B33" t="s">
        <v>138</v>
      </c>
      <c r="C33" s="60">
        <v>15</v>
      </c>
      <c r="D33" s="40">
        <f t="shared" ca="1" si="0"/>
        <v>85</v>
      </c>
      <c r="E33" s="56">
        <f>COUNTIFS(A:A,表1[[#This Row],[时间]],B:B,表1[[#This Row],[项目]])</f>
        <v>1</v>
      </c>
      <c r="G33" s="38"/>
      <c r="H33"/>
    </row>
    <row r="34" spans="1:8" x14ac:dyDescent="0.2">
      <c r="A34" s="55">
        <v>42335</v>
      </c>
      <c r="B34" t="s">
        <v>140</v>
      </c>
      <c r="C34" s="60">
        <v>30</v>
      </c>
      <c r="D34" s="40">
        <f t="shared" ref="D34:D52" ca="1" si="1">TODAY()-ROUNDDOWN(A34,0)</f>
        <v>83</v>
      </c>
      <c r="E34" s="56">
        <f>COUNTIFS(A:A,表1[[#This Row],[时间]],B:B,表1[[#This Row],[项目]])</f>
        <v>2</v>
      </c>
      <c r="G34" s="38"/>
      <c r="H34"/>
    </row>
    <row r="35" spans="1:8" x14ac:dyDescent="0.2">
      <c r="A35" s="55">
        <v>42335</v>
      </c>
      <c r="B35" t="s">
        <v>139</v>
      </c>
      <c r="C35" s="60">
        <v>40</v>
      </c>
      <c r="D35" s="40">
        <f t="shared" ca="1" si="1"/>
        <v>83</v>
      </c>
      <c r="E35" s="56">
        <f>COUNTIFS(A:A,表1[[#This Row],[时间]],B:B,表1[[#This Row],[项目]])</f>
        <v>2</v>
      </c>
      <c r="H35"/>
    </row>
    <row r="36" spans="1:8" x14ac:dyDescent="0.2">
      <c r="A36" s="55">
        <v>42335</v>
      </c>
      <c r="B36" t="s">
        <v>161</v>
      </c>
      <c r="C36" s="60">
        <v>60</v>
      </c>
      <c r="D36" s="40">
        <f t="shared" ca="1" si="1"/>
        <v>83</v>
      </c>
      <c r="E36" s="56">
        <f>COUNTIFS(A:A,表1[[#This Row],[时间]],B:B,表1[[#This Row],[项目]])</f>
        <v>1</v>
      </c>
      <c r="G36" s="38"/>
      <c r="H36"/>
    </row>
    <row r="37" spans="1:8" x14ac:dyDescent="0.2">
      <c r="A37" s="55">
        <v>42335</v>
      </c>
      <c r="B37" t="s">
        <v>138</v>
      </c>
      <c r="C37" s="60">
        <v>15</v>
      </c>
      <c r="D37" s="40">
        <f t="shared" ca="1" si="1"/>
        <v>83</v>
      </c>
      <c r="E37" s="56">
        <f>COUNTIFS(A:A,表1[[#This Row],[时间]],B:B,表1[[#This Row],[项目]])</f>
        <v>1</v>
      </c>
      <c r="G37" s="38"/>
      <c r="H37"/>
    </row>
    <row r="38" spans="1:8" x14ac:dyDescent="0.2">
      <c r="A38" s="55">
        <v>42335</v>
      </c>
      <c r="B38" t="s">
        <v>140</v>
      </c>
      <c r="C38" s="60">
        <v>40</v>
      </c>
      <c r="D38" s="40">
        <f t="shared" ca="1" si="1"/>
        <v>83</v>
      </c>
      <c r="E38" s="56">
        <f>COUNTIFS(A:A,表1[[#This Row],[时间]],B:B,表1[[#This Row],[项目]])</f>
        <v>2</v>
      </c>
      <c r="G38" s="38"/>
      <c r="H38"/>
    </row>
    <row r="39" spans="1:8" x14ac:dyDescent="0.2">
      <c r="A39" s="55">
        <v>42335</v>
      </c>
      <c r="B39" t="s">
        <v>139</v>
      </c>
      <c r="C39" s="60">
        <v>40</v>
      </c>
      <c r="D39" s="40">
        <f t="shared" ca="1" si="1"/>
        <v>83</v>
      </c>
      <c r="E39" s="56">
        <f>COUNTIFS(A:A,表1[[#This Row],[时间]],B:B,表1[[#This Row],[项目]])</f>
        <v>2</v>
      </c>
      <c r="G39" s="38"/>
      <c r="H39"/>
    </row>
    <row r="40" spans="1:8" x14ac:dyDescent="0.2">
      <c r="A40" s="55">
        <v>42336</v>
      </c>
      <c r="B40" t="s">
        <v>139</v>
      </c>
      <c r="C40" s="60">
        <v>30</v>
      </c>
      <c r="D40" s="40">
        <f t="shared" ca="1" si="1"/>
        <v>82</v>
      </c>
      <c r="E40" s="56">
        <f>COUNTIFS(A:A,表1[[#This Row],[时间]],B:B,表1[[#This Row],[项目]])</f>
        <v>1</v>
      </c>
    </row>
    <row r="41" spans="1:8" x14ac:dyDescent="0.2">
      <c r="A41" s="55">
        <v>42336</v>
      </c>
      <c r="B41" t="s">
        <v>140</v>
      </c>
      <c r="C41" s="60">
        <v>35</v>
      </c>
      <c r="D41" s="40">
        <f t="shared" ca="1" si="1"/>
        <v>82</v>
      </c>
      <c r="E41" s="56">
        <f>COUNTIFS(A:A,表1[[#This Row],[时间]],B:B,表1[[#This Row],[项目]])</f>
        <v>1</v>
      </c>
    </row>
    <row r="42" spans="1:8" x14ac:dyDescent="0.2">
      <c r="A42" s="55">
        <v>42338</v>
      </c>
      <c r="B42" t="s">
        <v>138</v>
      </c>
      <c r="C42" s="60">
        <v>15</v>
      </c>
      <c r="D42" s="40">
        <f t="shared" ca="1" si="1"/>
        <v>80</v>
      </c>
      <c r="E42" s="56">
        <f>COUNTIFS(A:A,表1[[#This Row],[时间]],B:B,表1[[#This Row],[项目]])</f>
        <v>2</v>
      </c>
    </row>
    <row r="43" spans="1:8" ht="13.5" customHeight="1" x14ac:dyDescent="0.2">
      <c r="A43" s="55">
        <v>42338</v>
      </c>
      <c r="B43" t="s">
        <v>138</v>
      </c>
      <c r="C43" s="60">
        <v>20</v>
      </c>
      <c r="D43" s="40">
        <f t="shared" ca="1" si="1"/>
        <v>80</v>
      </c>
      <c r="E43" s="56">
        <f>COUNTIFS(A:A,表1[[#This Row],[时间]],B:B,表1[[#This Row],[项目]])</f>
        <v>2</v>
      </c>
    </row>
    <row r="44" spans="1:8" x14ac:dyDescent="0.2">
      <c r="A44" s="55">
        <v>42346</v>
      </c>
      <c r="B44" t="s">
        <v>138</v>
      </c>
      <c r="C44" s="60">
        <v>13</v>
      </c>
      <c r="D44" s="40">
        <f t="shared" ca="1" si="1"/>
        <v>72</v>
      </c>
      <c r="E44" s="56">
        <f>COUNTIFS(A:A,表1[[#This Row],[时间]],B:B,表1[[#This Row],[项目]])</f>
        <v>2</v>
      </c>
    </row>
    <row r="45" spans="1:8" x14ac:dyDescent="0.2">
      <c r="A45" s="55">
        <v>42346</v>
      </c>
      <c r="B45" t="s">
        <v>139</v>
      </c>
      <c r="C45" s="60">
        <v>30</v>
      </c>
      <c r="D45" s="40">
        <f t="shared" ca="1" si="1"/>
        <v>72</v>
      </c>
      <c r="E45" s="56">
        <f>COUNTIFS(A:A,表1[[#This Row],[时间]],B:B,表1[[#This Row],[项目]])</f>
        <v>2</v>
      </c>
    </row>
    <row r="46" spans="1:8" x14ac:dyDescent="0.2">
      <c r="A46" s="55">
        <v>42346</v>
      </c>
      <c r="B46" t="s">
        <v>140</v>
      </c>
      <c r="C46" s="60">
        <v>40</v>
      </c>
      <c r="D46" s="40">
        <f t="shared" ca="1" si="1"/>
        <v>72</v>
      </c>
      <c r="E46" s="56">
        <f>COUNTIFS(A:A,表1[[#This Row],[时间]],B:B,表1[[#This Row],[项目]])</f>
        <v>2</v>
      </c>
    </row>
    <row r="47" spans="1:8" x14ac:dyDescent="0.2">
      <c r="A47" s="55">
        <v>42346</v>
      </c>
      <c r="B47" t="s">
        <v>137</v>
      </c>
      <c r="C47" s="60">
        <v>15</v>
      </c>
      <c r="D47" s="40">
        <f t="shared" ca="1" si="1"/>
        <v>72</v>
      </c>
      <c r="E47" s="56">
        <f>COUNTIFS(A:A,表1[[#This Row],[时间]],B:B,表1[[#This Row],[项目]])</f>
        <v>1</v>
      </c>
      <c r="H47"/>
    </row>
    <row r="48" spans="1:8" x14ac:dyDescent="0.2">
      <c r="A48" s="55">
        <v>42346</v>
      </c>
      <c r="B48" t="s">
        <v>161</v>
      </c>
      <c r="C48" s="60">
        <v>60</v>
      </c>
      <c r="D48" s="40">
        <f t="shared" ca="1" si="1"/>
        <v>72</v>
      </c>
      <c r="E48" s="56">
        <f>COUNTIFS(A:A,表1[[#This Row],[时间]],B:B,表1[[#This Row],[项目]])</f>
        <v>2</v>
      </c>
    </row>
    <row r="49" spans="1:8" x14ac:dyDescent="0.2">
      <c r="A49" s="55">
        <v>42346</v>
      </c>
      <c r="B49" t="s">
        <v>140</v>
      </c>
      <c r="C49" s="60">
        <v>41</v>
      </c>
      <c r="D49" s="40">
        <f t="shared" ca="1" si="1"/>
        <v>72</v>
      </c>
      <c r="E49" s="56">
        <f>COUNTIFS(A:A,表1[[#This Row],[时间]],B:B,表1[[#This Row],[项目]])</f>
        <v>2</v>
      </c>
    </row>
    <row r="50" spans="1:8" x14ac:dyDescent="0.2">
      <c r="A50" s="55">
        <v>42346</v>
      </c>
      <c r="B50" t="s">
        <v>138</v>
      </c>
      <c r="C50" s="60">
        <v>10</v>
      </c>
      <c r="D50" s="40">
        <f t="shared" ca="1" si="1"/>
        <v>72</v>
      </c>
      <c r="E50" s="56">
        <f>COUNTIFS(A:A,表1[[#This Row],[时间]],B:B,表1[[#This Row],[项目]])</f>
        <v>2</v>
      </c>
    </row>
    <row r="51" spans="1:8" x14ac:dyDescent="0.2">
      <c r="A51" s="55">
        <v>42346</v>
      </c>
      <c r="B51" t="s">
        <v>139</v>
      </c>
      <c r="C51" s="60">
        <v>30</v>
      </c>
      <c r="D51" s="40">
        <f t="shared" ca="1" si="1"/>
        <v>72</v>
      </c>
      <c r="E51" s="56">
        <f>COUNTIFS(A:A,表1[[#This Row],[时间]],B:B,表1[[#This Row],[项目]])</f>
        <v>2</v>
      </c>
    </row>
    <row r="52" spans="1:8" x14ac:dyDescent="0.2">
      <c r="A52" s="55">
        <v>42346</v>
      </c>
      <c r="B52" t="s">
        <v>161</v>
      </c>
      <c r="C52" s="60">
        <v>60</v>
      </c>
      <c r="D52" s="40">
        <f t="shared" ca="1" si="1"/>
        <v>72</v>
      </c>
      <c r="E52" s="56">
        <f>COUNTIFS(A:A,表1[[#This Row],[时间]],B:B,表1[[#This Row],[项目]])</f>
        <v>2</v>
      </c>
    </row>
    <row r="53" spans="1:8" x14ac:dyDescent="0.2">
      <c r="A53" s="55">
        <v>42353</v>
      </c>
      <c r="B53" t="s">
        <v>138</v>
      </c>
      <c r="C53" s="60">
        <v>13</v>
      </c>
      <c r="D53" s="40">
        <f t="shared" ref="D53:D60" ca="1" si="2">TODAY()-ROUNDDOWN(A53,0)</f>
        <v>65</v>
      </c>
      <c r="E53" s="56">
        <f>COUNTIFS(A:A,表1[[#This Row],[时间]],B:B,表1[[#This Row],[项目]])</f>
        <v>2</v>
      </c>
    </row>
    <row r="54" spans="1:8" x14ac:dyDescent="0.2">
      <c r="A54" s="55">
        <v>42353</v>
      </c>
      <c r="B54" t="s">
        <v>140</v>
      </c>
      <c r="C54" s="60">
        <v>40</v>
      </c>
      <c r="D54" s="40">
        <f t="shared" ca="1" si="2"/>
        <v>65</v>
      </c>
      <c r="E54" s="56">
        <f>COUNTIFS(A:A,表1[[#This Row],[时间]],B:B,表1[[#This Row],[项目]])</f>
        <v>2</v>
      </c>
    </row>
    <row r="55" spans="1:8" x14ac:dyDescent="0.2">
      <c r="A55" s="55">
        <v>42353</v>
      </c>
      <c r="B55" t="s">
        <v>137</v>
      </c>
      <c r="C55" s="60">
        <v>15</v>
      </c>
      <c r="D55" s="40">
        <f t="shared" ca="1" si="2"/>
        <v>65</v>
      </c>
      <c r="E55" s="56">
        <f>COUNTIFS(A:A,表1[[#This Row],[时间]],B:B,表1[[#This Row],[项目]])</f>
        <v>2</v>
      </c>
    </row>
    <row r="56" spans="1:8" x14ac:dyDescent="0.2">
      <c r="A56" s="55">
        <v>42353</v>
      </c>
      <c r="B56" t="s">
        <v>139</v>
      </c>
      <c r="C56" s="60">
        <v>30</v>
      </c>
      <c r="D56" s="40">
        <f t="shared" ca="1" si="2"/>
        <v>65</v>
      </c>
      <c r="E56" s="56">
        <f>COUNTIFS(A:A,表1[[#This Row],[时间]],B:B,表1[[#This Row],[项目]])</f>
        <v>2</v>
      </c>
    </row>
    <row r="57" spans="1:8" x14ac:dyDescent="0.2">
      <c r="A57" s="55">
        <v>42353</v>
      </c>
      <c r="B57" t="s">
        <v>138</v>
      </c>
      <c r="C57" s="60">
        <v>15</v>
      </c>
      <c r="D57" s="40">
        <f t="shared" ca="1" si="2"/>
        <v>65</v>
      </c>
      <c r="E57" s="56">
        <f>COUNTIFS(A:A,表1[[#This Row],[时间]],B:B,表1[[#This Row],[项目]])</f>
        <v>2</v>
      </c>
    </row>
    <row r="58" spans="1:8" x14ac:dyDescent="0.2">
      <c r="A58" s="55">
        <v>42353</v>
      </c>
      <c r="B58" t="s">
        <v>140</v>
      </c>
      <c r="C58" s="60">
        <v>35</v>
      </c>
      <c r="D58" s="40">
        <f t="shared" ca="1" si="2"/>
        <v>65</v>
      </c>
      <c r="E58" s="56">
        <f>COUNTIFS(A:A,表1[[#This Row],[时间]],B:B,表1[[#This Row],[项目]])</f>
        <v>2</v>
      </c>
    </row>
    <row r="59" spans="1:8" x14ac:dyDescent="0.2">
      <c r="A59" s="55">
        <v>42353</v>
      </c>
      <c r="B59" t="s">
        <v>137</v>
      </c>
      <c r="C59" s="60">
        <v>15</v>
      </c>
      <c r="D59" s="40">
        <f t="shared" ca="1" si="2"/>
        <v>65</v>
      </c>
      <c r="E59" s="56">
        <f>COUNTIFS(A:A,表1[[#This Row],[时间]],B:B,表1[[#This Row],[项目]])</f>
        <v>2</v>
      </c>
    </row>
    <row r="60" spans="1:8" x14ac:dyDescent="0.2">
      <c r="A60" s="55">
        <v>42353</v>
      </c>
      <c r="B60" t="s">
        <v>139</v>
      </c>
      <c r="C60" s="60">
        <v>30</v>
      </c>
      <c r="D60" s="40">
        <f t="shared" ca="1" si="2"/>
        <v>65</v>
      </c>
      <c r="E60" s="56">
        <f>COUNTIFS(A:A,表1[[#This Row],[时间]],B:B,表1[[#This Row],[项目]])</f>
        <v>2</v>
      </c>
    </row>
    <row r="61" spans="1:8" x14ac:dyDescent="0.2">
      <c r="A61" s="55">
        <v>42354</v>
      </c>
      <c r="B61" t="s">
        <v>138</v>
      </c>
      <c r="C61" s="60">
        <v>15</v>
      </c>
      <c r="D61" s="40">
        <f t="shared" ref="D61:D69" ca="1" si="3">TODAY()-ROUNDDOWN(A61,0)</f>
        <v>64</v>
      </c>
      <c r="E61" s="56">
        <f>COUNTIFS(A:A,表1[[#This Row],[时间]],B:B,表1[[#This Row],[项目]])</f>
        <v>4</v>
      </c>
    </row>
    <row r="62" spans="1:8" x14ac:dyDescent="0.2">
      <c r="A62" s="55">
        <v>42354</v>
      </c>
      <c r="B62" t="s">
        <v>138</v>
      </c>
      <c r="C62" s="60">
        <v>15</v>
      </c>
      <c r="D62" s="40">
        <f t="shared" ca="1" si="3"/>
        <v>64</v>
      </c>
      <c r="E62" s="56">
        <f>COUNTIFS(A:A,表1[[#This Row],[时间]],B:B,表1[[#This Row],[项目]])</f>
        <v>4</v>
      </c>
      <c r="H62"/>
    </row>
    <row r="63" spans="1:8" x14ac:dyDescent="0.2">
      <c r="A63" s="55">
        <v>42354</v>
      </c>
      <c r="B63" t="s">
        <v>138</v>
      </c>
      <c r="C63" s="60">
        <v>12</v>
      </c>
      <c r="D63" s="40">
        <f t="shared" ca="1" si="3"/>
        <v>64</v>
      </c>
      <c r="E63" s="56">
        <f>COUNTIFS(A:A,表1[[#This Row],[时间]],B:B,表1[[#This Row],[项目]])</f>
        <v>4</v>
      </c>
      <c r="H63"/>
    </row>
    <row r="64" spans="1:8" x14ac:dyDescent="0.2">
      <c r="A64" s="55">
        <v>42354</v>
      </c>
      <c r="B64" t="s">
        <v>137</v>
      </c>
      <c r="C64" s="60">
        <v>18</v>
      </c>
      <c r="D64" s="40">
        <f t="shared" ca="1" si="3"/>
        <v>64</v>
      </c>
      <c r="E64" s="56">
        <f>COUNTIFS(A:A,表1[[#This Row],[时间]],B:B,表1[[#This Row],[项目]])</f>
        <v>2</v>
      </c>
      <c r="H64"/>
    </row>
    <row r="65" spans="1:8" x14ac:dyDescent="0.2">
      <c r="A65" s="55">
        <v>42354</v>
      </c>
      <c r="B65" t="s">
        <v>140</v>
      </c>
      <c r="C65" s="60">
        <v>40</v>
      </c>
      <c r="D65" s="40">
        <f t="shared" ca="1" si="3"/>
        <v>64</v>
      </c>
      <c r="E65" s="56">
        <f>COUNTIFS(A:A,表1[[#This Row],[时间]],B:B,表1[[#This Row],[项目]])</f>
        <v>1</v>
      </c>
      <c r="H65"/>
    </row>
    <row r="66" spans="1:8" x14ac:dyDescent="0.2">
      <c r="A66" s="55">
        <v>42354</v>
      </c>
      <c r="B66" t="s">
        <v>139</v>
      </c>
      <c r="C66" s="60">
        <v>30</v>
      </c>
      <c r="D66" s="40">
        <f t="shared" ca="1" si="3"/>
        <v>64</v>
      </c>
      <c r="E66" s="56">
        <f>COUNTIFS(A:A,表1[[#This Row],[时间]],B:B,表1[[#This Row],[项目]])</f>
        <v>2</v>
      </c>
    </row>
    <row r="67" spans="1:8" x14ac:dyDescent="0.2">
      <c r="A67" s="55">
        <v>42354</v>
      </c>
      <c r="B67" t="s">
        <v>137</v>
      </c>
      <c r="C67" s="60">
        <v>16</v>
      </c>
      <c r="D67" s="40">
        <f t="shared" ca="1" si="3"/>
        <v>64</v>
      </c>
      <c r="E67" s="56">
        <f>COUNTIFS(A:A,表1[[#This Row],[时间]],B:B,表1[[#This Row],[项目]])</f>
        <v>2</v>
      </c>
    </row>
    <row r="68" spans="1:8" x14ac:dyDescent="0.2">
      <c r="A68" s="55">
        <v>42354</v>
      </c>
      <c r="B68" t="s">
        <v>138</v>
      </c>
      <c r="C68" s="60">
        <v>12</v>
      </c>
      <c r="D68" s="40">
        <f t="shared" ca="1" si="3"/>
        <v>64</v>
      </c>
      <c r="E68" s="56">
        <f>COUNTIFS(A:A,表1[[#This Row],[时间]],B:B,表1[[#This Row],[项目]])</f>
        <v>4</v>
      </c>
    </row>
    <row r="69" spans="1:8" x14ac:dyDescent="0.2">
      <c r="A69" s="55">
        <v>42354</v>
      </c>
      <c r="B69" t="s">
        <v>139</v>
      </c>
      <c r="C69" s="60">
        <v>30</v>
      </c>
      <c r="D69" s="40">
        <f t="shared" ca="1" si="3"/>
        <v>64</v>
      </c>
      <c r="E69" s="56">
        <f>COUNTIFS(A:A,表1[[#This Row],[时间]],B:B,表1[[#This Row],[项目]])</f>
        <v>2</v>
      </c>
    </row>
    <row r="70" spans="1:8" x14ac:dyDescent="0.2">
      <c r="A70" s="55">
        <v>42372</v>
      </c>
      <c r="B70" t="s">
        <v>175</v>
      </c>
      <c r="C70" s="60">
        <v>60</v>
      </c>
      <c r="D70" s="40">
        <f t="shared" ref="D70:D75" ca="1" si="4">TODAY()-ROUNDDOWN(A70,0)</f>
        <v>46</v>
      </c>
      <c r="E70" s="56">
        <f>COUNTIFS(A:A,表1[[#This Row],[时间]],B:B,表1[[#This Row],[项目]])</f>
        <v>3</v>
      </c>
    </row>
    <row r="71" spans="1:8" x14ac:dyDescent="0.2">
      <c r="A71" s="55">
        <v>42372</v>
      </c>
      <c r="B71" t="s">
        <v>175</v>
      </c>
      <c r="C71" s="60">
        <v>54</v>
      </c>
      <c r="D71" s="40">
        <f t="shared" ca="1" si="4"/>
        <v>46</v>
      </c>
      <c r="E71" s="56">
        <f>COUNTIFS(A:A,表1[[#This Row],[时间]],B:B,表1[[#This Row],[项目]])</f>
        <v>3</v>
      </c>
    </row>
    <row r="72" spans="1:8" x14ac:dyDescent="0.2">
      <c r="A72" s="55">
        <v>42372</v>
      </c>
      <c r="B72" t="s">
        <v>175</v>
      </c>
      <c r="C72" s="60">
        <v>54</v>
      </c>
      <c r="D72" s="40">
        <f t="shared" ca="1" si="4"/>
        <v>46</v>
      </c>
      <c r="E72" s="56">
        <f>COUNTIFS(A:A,表1[[#This Row],[时间]],B:B,表1[[#This Row],[项目]])</f>
        <v>3</v>
      </c>
    </row>
    <row r="73" spans="1:8" x14ac:dyDescent="0.2">
      <c r="A73" s="55">
        <v>42378</v>
      </c>
      <c r="B73" t="s">
        <v>138</v>
      </c>
      <c r="C73" s="60">
        <v>10</v>
      </c>
      <c r="D73" s="40">
        <f t="shared" ca="1" si="4"/>
        <v>40</v>
      </c>
      <c r="E73" s="56">
        <f>COUNTIFS(A:A,表1[[#This Row],[时间]],B:B,表1[[#This Row],[项目]])</f>
        <v>1</v>
      </c>
    </row>
    <row r="74" spans="1:8" x14ac:dyDescent="0.2">
      <c r="A74" s="55">
        <v>42378</v>
      </c>
      <c r="B74" t="s">
        <v>137</v>
      </c>
      <c r="C74" s="60">
        <v>10</v>
      </c>
      <c r="D74" s="40">
        <f t="shared" ca="1" si="4"/>
        <v>40</v>
      </c>
      <c r="E74" s="56">
        <f>COUNTIFS(A:A,表1[[#This Row],[时间]],B:B,表1[[#This Row],[项目]])</f>
        <v>1</v>
      </c>
    </row>
    <row r="75" spans="1:8" x14ac:dyDescent="0.2">
      <c r="A75" s="55">
        <v>42378</v>
      </c>
      <c r="B75" t="s">
        <v>140</v>
      </c>
      <c r="C75" s="60">
        <v>36</v>
      </c>
      <c r="D75" s="40">
        <f t="shared" ca="1" si="4"/>
        <v>40</v>
      </c>
      <c r="E75" s="56">
        <f>COUNTIFS(A:A,表1[[#This Row],[时间]],B:B,表1[[#This Row],[项目]])</f>
        <v>1</v>
      </c>
    </row>
    <row r="76" spans="1:8" x14ac:dyDescent="0.2">
      <c r="A76" s="55">
        <v>42381</v>
      </c>
      <c r="B76" t="s">
        <v>161</v>
      </c>
      <c r="C76" s="60">
        <v>60</v>
      </c>
      <c r="D76" s="40">
        <f ca="1">TODAY()-ROUNDDOWN(A76,0)</f>
        <v>37</v>
      </c>
      <c r="E76" s="56">
        <f>COUNTIFS(A:A,表1[[#This Row],[时间]],B:B,表1[[#This Row],[项目]])</f>
        <v>1</v>
      </c>
    </row>
    <row r="77" spans="1:8" x14ac:dyDescent="0.2">
      <c r="A77" s="55">
        <v>42381</v>
      </c>
      <c r="B77" t="s">
        <v>137</v>
      </c>
      <c r="C77" s="60">
        <v>16</v>
      </c>
      <c r="D77" s="40">
        <f t="shared" ref="D77:D80" ca="1" si="5">TODAY()-ROUNDDOWN(A77,0)</f>
        <v>37</v>
      </c>
      <c r="E77" s="56">
        <f>COUNTIFS(A:A,表1[[#This Row],[时间]],B:B,表1[[#This Row],[项目]])</f>
        <v>1</v>
      </c>
    </row>
    <row r="78" spans="1:8" x14ac:dyDescent="0.2">
      <c r="A78" s="55">
        <v>42381</v>
      </c>
      <c r="B78" t="s">
        <v>138</v>
      </c>
      <c r="C78" s="60">
        <v>15</v>
      </c>
      <c r="D78" s="40">
        <f t="shared" ca="1" si="5"/>
        <v>37</v>
      </c>
      <c r="E78" s="56">
        <f>COUNTIFS(A:A,表1[[#This Row],[时间]],B:B,表1[[#This Row],[项目]])</f>
        <v>1</v>
      </c>
    </row>
    <row r="79" spans="1:8" x14ac:dyDescent="0.2">
      <c r="A79" s="55">
        <v>42381</v>
      </c>
      <c r="B79" t="s">
        <v>139</v>
      </c>
      <c r="C79" s="60">
        <v>30</v>
      </c>
      <c r="D79" s="40">
        <f t="shared" ca="1" si="5"/>
        <v>37</v>
      </c>
      <c r="E79" s="56">
        <f>COUNTIFS(A:A,表1[[#This Row],[时间]],B:B,表1[[#This Row],[项目]])</f>
        <v>1</v>
      </c>
    </row>
    <row r="80" spans="1:8" x14ac:dyDescent="0.2">
      <c r="A80" s="55">
        <v>42381</v>
      </c>
      <c r="B80" t="s">
        <v>140</v>
      </c>
      <c r="C80" s="60">
        <v>40</v>
      </c>
      <c r="D80" s="40">
        <f t="shared" ca="1" si="5"/>
        <v>37</v>
      </c>
      <c r="E80" s="56">
        <f>COUNTIFS(A:A,表1[[#This Row],[时间]],B:B,表1[[#This Row],[项目]])</f>
        <v>1</v>
      </c>
    </row>
    <row r="81" spans="1:9" x14ac:dyDescent="0.2">
      <c r="A81" s="55">
        <v>42381</v>
      </c>
      <c r="B81" t="s">
        <v>184</v>
      </c>
      <c r="C81" s="60">
        <v>1</v>
      </c>
      <c r="D81" s="40">
        <f ca="1">TODAY()-ROUNDDOWN(A81,0)</f>
        <v>37</v>
      </c>
      <c r="E81" s="56">
        <f>COUNTIFS(A:A,表1[[#This Row],[时间]],B:B,表1[[#This Row],[项目]])</f>
        <v>1</v>
      </c>
    </row>
    <row r="82" spans="1:9" x14ac:dyDescent="0.2">
      <c r="A82" s="55">
        <v>42387</v>
      </c>
      <c r="B82" s="37" t="s">
        <v>141</v>
      </c>
      <c r="C82" s="60">
        <v>61</v>
      </c>
      <c r="D82" s="40">
        <f t="shared" ref="D82:D87" ca="1" si="6">TODAY()-ROUNDDOWN(A82,0)</f>
        <v>31</v>
      </c>
      <c r="E82" s="56">
        <f>COUNTIFS(A:A,表1[[#This Row],[时间]],B:B,表1[[#This Row],[项目]])</f>
        <v>2</v>
      </c>
    </row>
    <row r="83" spans="1:9" x14ac:dyDescent="0.2">
      <c r="A83" s="55">
        <v>42387</v>
      </c>
      <c r="B83" t="s">
        <v>137</v>
      </c>
      <c r="C83" s="60">
        <v>11</v>
      </c>
      <c r="D83" s="40">
        <f t="shared" ca="1" si="6"/>
        <v>31</v>
      </c>
      <c r="E83" s="56">
        <f>COUNTIFS(A:A,表1[[#This Row],[时间]],B:B,表1[[#This Row],[项目]])</f>
        <v>2</v>
      </c>
    </row>
    <row r="84" spans="1:9" x14ac:dyDescent="0.2">
      <c r="A84" s="55">
        <v>42387</v>
      </c>
      <c r="B84" t="s">
        <v>138</v>
      </c>
      <c r="C84" s="60">
        <v>15</v>
      </c>
      <c r="D84" s="40">
        <f t="shared" ca="1" si="6"/>
        <v>31</v>
      </c>
      <c r="E84" s="56">
        <f>COUNTIFS(A:A,表1[[#This Row],[时间]],B:B,表1[[#This Row],[项目]])</f>
        <v>2</v>
      </c>
    </row>
    <row r="85" spans="1:9" x14ac:dyDescent="0.2">
      <c r="A85" s="55">
        <v>42387</v>
      </c>
      <c r="B85" t="s">
        <v>139</v>
      </c>
      <c r="C85" s="60">
        <v>30</v>
      </c>
      <c r="D85" s="40">
        <f t="shared" ca="1" si="6"/>
        <v>31</v>
      </c>
      <c r="E85" s="56">
        <f>COUNTIFS(A:A,表1[[#This Row],[时间]],B:B,表1[[#This Row],[项目]])</f>
        <v>2</v>
      </c>
    </row>
    <row r="86" spans="1:9" x14ac:dyDescent="0.2">
      <c r="A86" s="55">
        <v>42387</v>
      </c>
      <c r="B86" t="s">
        <v>140</v>
      </c>
      <c r="C86" s="60">
        <v>35</v>
      </c>
      <c r="D86" s="40">
        <f t="shared" ca="1" si="6"/>
        <v>31</v>
      </c>
      <c r="E86" s="56">
        <f>COUNTIFS(A:A,表1[[#This Row],[时间]],B:B,表1[[#This Row],[项目]])</f>
        <v>2</v>
      </c>
    </row>
    <row r="87" spans="1:9" x14ac:dyDescent="0.2">
      <c r="A87" s="55">
        <v>42387</v>
      </c>
      <c r="B87" s="37" t="s">
        <v>185</v>
      </c>
      <c r="C87" s="60">
        <v>1</v>
      </c>
      <c r="D87" s="40">
        <f t="shared" ca="1" si="6"/>
        <v>31</v>
      </c>
      <c r="E87" s="56">
        <f>COUNTIFS(A:A,表1[[#This Row],[时间]],B:B,表1[[#This Row],[项目]])</f>
        <v>2</v>
      </c>
      <c r="G87" s="59" t="s">
        <v>197</v>
      </c>
      <c r="H87" s="59" t="s">
        <v>146</v>
      </c>
      <c r="I87" s="60"/>
    </row>
    <row r="88" spans="1:9" x14ac:dyDescent="0.2">
      <c r="A88" s="55">
        <v>42387</v>
      </c>
      <c r="B88" s="37" t="s">
        <v>141</v>
      </c>
      <c r="C88" s="60">
        <v>60</v>
      </c>
      <c r="D88" s="40">
        <f t="shared" ref="D88:D93" ca="1" si="7">TODAY()-ROUNDDOWN(A88,0)</f>
        <v>31</v>
      </c>
      <c r="E88" s="56">
        <f>COUNTIFS(A:A,表1[[#This Row],[时间]],B:B,表1[[#This Row],[项目]])</f>
        <v>2</v>
      </c>
      <c r="G88" s="59" t="s">
        <v>144</v>
      </c>
      <c r="H88" s="60" t="s">
        <v>196</v>
      </c>
      <c r="I88" s="60" t="s">
        <v>145</v>
      </c>
    </row>
    <row r="89" spans="1:9" x14ac:dyDescent="0.2">
      <c r="A89" s="55">
        <v>42387</v>
      </c>
      <c r="B89" t="s">
        <v>137</v>
      </c>
      <c r="C89" s="60">
        <v>12</v>
      </c>
      <c r="D89" s="40">
        <f t="shared" ca="1" si="7"/>
        <v>31</v>
      </c>
      <c r="E89" s="56">
        <f>COUNTIFS(A:A,表1[[#This Row],[时间]],B:B,表1[[#This Row],[项目]])</f>
        <v>2</v>
      </c>
      <c r="G89" s="61" t="s">
        <v>138</v>
      </c>
      <c r="H89" s="60">
        <v>1</v>
      </c>
      <c r="I89" s="60">
        <v>1</v>
      </c>
    </row>
    <row r="90" spans="1:9" x14ac:dyDescent="0.2">
      <c r="A90" s="55">
        <v>42387</v>
      </c>
      <c r="B90" t="s">
        <v>138</v>
      </c>
      <c r="C90" s="60">
        <v>15</v>
      </c>
      <c r="D90" s="40">
        <f t="shared" ca="1" si="7"/>
        <v>31</v>
      </c>
      <c r="E90" s="56">
        <f>COUNTIFS(A:A,表1[[#This Row],[时间]],B:B,表1[[#This Row],[项目]])</f>
        <v>2</v>
      </c>
      <c r="G90" s="61" t="s">
        <v>137</v>
      </c>
      <c r="H90" s="60">
        <v>2</v>
      </c>
      <c r="I90" s="60">
        <v>2</v>
      </c>
    </row>
    <row r="91" spans="1:9" x14ac:dyDescent="0.2">
      <c r="A91" s="55">
        <v>42387</v>
      </c>
      <c r="B91" t="s">
        <v>139</v>
      </c>
      <c r="C91" s="60">
        <v>35</v>
      </c>
      <c r="D91" s="40">
        <f t="shared" ca="1" si="7"/>
        <v>31</v>
      </c>
      <c r="E91" s="56">
        <f>COUNTIFS(A:A,表1[[#This Row],[时间]],B:B,表1[[#This Row],[项目]])</f>
        <v>2</v>
      </c>
      <c r="G91" s="61" t="s">
        <v>161</v>
      </c>
      <c r="H91" s="60">
        <v>3</v>
      </c>
      <c r="I91" s="60">
        <v>3</v>
      </c>
    </row>
    <row r="92" spans="1:9" x14ac:dyDescent="0.2">
      <c r="A92" s="55">
        <v>42387</v>
      </c>
      <c r="B92" t="s">
        <v>140</v>
      </c>
      <c r="C92" s="60">
        <v>30</v>
      </c>
      <c r="D92" s="40">
        <f t="shared" ca="1" si="7"/>
        <v>31</v>
      </c>
      <c r="E92" s="56">
        <f>COUNTIFS(A:A,表1[[#This Row],[时间]],B:B,表1[[#This Row],[项目]])</f>
        <v>2</v>
      </c>
      <c r="G92" s="61" t="s">
        <v>192</v>
      </c>
      <c r="H92" s="60">
        <v>1</v>
      </c>
      <c r="I92" s="60">
        <v>1</v>
      </c>
    </row>
    <row r="93" spans="1:9" x14ac:dyDescent="0.2">
      <c r="A93" s="55">
        <v>42387</v>
      </c>
      <c r="B93" s="37" t="s">
        <v>185</v>
      </c>
      <c r="C93" s="60">
        <v>1</v>
      </c>
      <c r="D93" s="40">
        <f t="shared" ca="1" si="7"/>
        <v>31</v>
      </c>
      <c r="E93" s="56">
        <f>COUNTIFS(A:A,表1[[#This Row],[时间]],B:B,表1[[#This Row],[项目]])</f>
        <v>2</v>
      </c>
      <c r="G93" s="61" t="s">
        <v>194</v>
      </c>
      <c r="H93" s="60">
        <v>1</v>
      </c>
      <c r="I93" s="60">
        <v>1</v>
      </c>
    </row>
    <row r="94" spans="1:9" x14ac:dyDescent="0.2">
      <c r="A94" s="55">
        <v>42404</v>
      </c>
      <c r="B94" t="s">
        <v>187</v>
      </c>
      <c r="C94" s="60">
        <v>2</v>
      </c>
      <c r="D94" s="40">
        <f t="shared" ref="D94:D102" ca="1" si="8">TODAY()-ROUNDDOWN(A94,0)</f>
        <v>14</v>
      </c>
      <c r="E94" s="56">
        <f>COUNTIFS(A:A,表1[[#This Row],[时间]],B:B,表1[[#This Row],[项目]])</f>
        <v>1</v>
      </c>
      <c r="G94" s="61" t="s">
        <v>145</v>
      </c>
      <c r="H94" s="60">
        <v>8</v>
      </c>
      <c r="I94" s="60">
        <v>8</v>
      </c>
    </row>
    <row r="95" spans="1:9" x14ac:dyDescent="0.2">
      <c r="A95" s="55">
        <v>42416</v>
      </c>
      <c r="B95" t="s">
        <v>161</v>
      </c>
      <c r="C95" s="60">
        <v>60</v>
      </c>
      <c r="D95" s="40">
        <f t="shared" ca="1" si="8"/>
        <v>2</v>
      </c>
      <c r="E95" s="56">
        <f>COUNTIFS(A:A,表1[[#This Row],[时间]],B:B,表1[[#This Row],[项目]])</f>
        <v>3</v>
      </c>
    </row>
    <row r="96" spans="1:9" x14ac:dyDescent="0.2">
      <c r="A96" s="55">
        <v>42416</v>
      </c>
      <c r="B96" t="s">
        <v>161</v>
      </c>
      <c r="C96" s="60">
        <v>60</v>
      </c>
      <c r="D96" s="40">
        <f t="shared" ca="1" si="8"/>
        <v>2</v>
      </c>
      <c r="E96" s="56">
        <f>COUNTIFS(A:A,表1[[#This Row],[时间]],B:B,表1[[#This Row],[项目]])</f>
        <v>3</v>
      </c>
    </row>
    <row r="97" spans="1:5" x14ac:dyDescent="0.2">
      <c r="A97" s="55">
        <v>42416</v>
      </c>
      <c r="B97" t="s">
        <v>137</v>
      </c>
      <c r="C97" s="60">
        <v>20</v>
      </c>
      <c r="D97" s="40">
        <f t="shared" ca="1" si="8"/>
        <v>2</v>
      </c>
      <c r="E97" s="56">
        <f>COUNTIFS(A:A,表1[[#This Row],[时间]],B:B,表1[[#This Row],[项目]])</f>
        <v>2</v>
      </c>
    </row>
    <row r="98" spans="1:5" x14ac:dyDescent="0.2">
      <c r="A98" s="55">
        <v>42416</v>
      </c>
      <c r="B98" t="s">
        <v>137</v>
      </c>
      <c r="C98" s="60">
        <v>20</v>
      </c>
      <c r="D98" s="40">
        <f t="shared" ca="1" si="8"/>
        <v>2</v>
      </c>
      <c r="E98" s="56">
        <f>COUNTIFS(A:A,表1[[#This Row],[时间]],B:B,表1[[#This Row],[项目]])</f>
        <v>2</v>
      </c>
    </row>
    <row r="99" spans="1:5" x14ac:dyDescent="0.2">
      <c r="A99" s="55">
        <v>42416</v>
      </c>
      <c r="B99" t="s">
        <v>192</v>
      </c>
      <c r="C99" s="60">
        <v>8</v>
      </c>
      <c r="D99" s="40">
        <f t="shared" ca="1" si="8"/>
        <v>2</v>
      </c>
      <c r="E99" s="56">
        <f>COUNTIFS(A:A,表1[[#This Row],[时间]],B:B,表1[[#This Row],[项目]])</f>
        <v>1</v>
      </c>
    </row>
    <row r="100" spans="1:5" x14ac:dyDescent="0.2">
      <c r="A100" s="55">
        <v>42416</v>
      </c>
      <c r="B100" t="s">
        <v>194</v>
      </c>
      <c r="C100" s="60">
        <v>11</v>
      </c>
      <c r="D100" s="40">
        <f t="shared" ca="1" si="8"/>
        <v>2</v>
      </c>
      <c r="E100" s="56">
        <f>COUNTIFS(A:A,表1[[#This Row],[时间]],B:B,表1[[#This Row],[项目]])</f>
        <v>1</v>
      </c>
    </row>
    <row r="101" spans="1:5" x14ac:dyDescent="0.2">
      <c r="A101" s="55">
        <v>42416</v>
      </c>
      <c r="B101" t="s">
        <v>161</v>
      </c>
      <c r="C101" s="60">
        <v>65</v>
      </c>
      <c r="D101" s="40">
        <f t="shared" ca="1" si="8"/>
        <v>2</v>
      </c>
      <c r="E101" s="56">
        <f>COUNTIFS(A:A,表1[[#This Row],[时间]],B:B,表1[[#This Row],[项目]])</f>
        <v>3</v>
      </c>
    </row>
    <row r="102" spans="1:5" x14ac:dyDescent="0.2">
      <c r="A102" s="55">
        <v>42416</v>
      </c>
      <c r="B102" t="s">
        <v>138</v>
      </c>
      <c r="C102" s="60">
        <v>15</v>
      </c>
      <c r="D102" s="40">
        <f t="shared" ca="1" si="8"/>
        <v>2</v>
      </c>
      <c r="E102" s="56">
        <f>COUNTIFS(A:A,表1[[#This Row],[时间]],B:B,表1[[#This Row],[项目]])</f>
        <v>1</v>
      </c>
    </row>
    <row r="103" spans="1:5" x14ac:dyDescent="0.2">
      <c r="A103" s="55">
        <v>42418</v>
      </c>
      <c r="B103" t="s">
        <v>137</v>
      </c>
      <c r="C103" s="60">
        <v>20</v>
      </c>
      <c r="D103" s="40">
        <f ca="1">TODAY()-ROUNDDOWN(A103,0)</f>
        <v>0</v>
      </c>
      <c r="E103" s="56">
        <f>COUNTIFS(A:A,表1[[#This Row],[时间]],B:B,表1[[#This Row],[项目]])</f>
        <v>1</v>
      </c>
    </row>
    <row r="104" spans="1:5" x14ac:dyDescent="0.2">
      <c r="A104" s="55">
        <v>42418</v>
      </c>
      <c r="B104" t="s">
        <v>161</v>
      </c>
      <c r="C104" s="60">
        <v>60</v>
      </c>
      <c r="D104" s="40">
        <f ca="1">TODAY()-ROUNDDOWN(A104,0)</f>
        <v>0</v>
      </c>
      <c r="E104" s="56">
        <f>COUNTIFS(A:A,表1[[#This Row],[时间]],B:B,表1[[#This Row],[项目]])</f>
        <v>1</v>
      </c>
    </row>
    <row r="105" spans="1:5" x14ac:dyDescent="0.2">
      <c r="A105" s="55">
        <v>42418</v>
      </c>
      <c r="B105" t="s">
        <v>192</v>
      </c>
      <c r="C105" s="60">
        <v>12</v>
      </c>
      <c r="D105" s="40">
        <f ca="1">TODAY()-ROUNDDOWN(A105,0)</f>
        <v>0</v>
      </c>
      <c r="E105" s="56">
        <f>COUNTIFS(A:A,表1[[#This Row],[时间]],B:B,表1[[#This Row],[项目]])</f>
        <v>1</v>
      </c>
    </row>
    <row r="106" spans="1:5" x14ac:dyDescent="0.2">
      <c r="A106" s="55">
        <v>42418</v>
      </c>
      <c r="B106" t="s">
        <v>138</v>
      </c>
      <c r="C106" s="60">
        <v>15</v>
      </c>
      <c r="D106" s="40">
        <f ca="1">TODAY()-ROUNDDOWN(A106,0)</f>
        <v>0</v>
      </c>
      <c r="E106" s="56">
        <f>COUNTIFS(A:A,表1[[#This Row],[时间]],B:B,表1[[#This Row],[项目]])</f>
        <v>2</v>
      </c>
    </row>
    <row r="107" spans="1:5" x14ac:dyDescent="0.2">
      <c r="A107" s="55">
        <v>42418</v>
      </c>
      <c r="B107" t="s">
        <v>140</v>
      </c>
      <c r="C107" s="60">
        <v>30</v>
      </c>
      <c r="D107" s="40">
        <f ca="1">TODAY()-ROUNDDOWN(A107,0)</f>
        <v>0</v>
      </c>
      <c r="E107" s="56">
        <f>COUNTIFS(A:A,表1[[#This Row],[时间]],B:B,表1[[#This Row],[项目]])</f>
        <v>1</v>
      </c>
    </row>
    <row r="108" spans="1:5" x14ac:dyDescent="0.2">
      <c r="A108" s="55">
        <v>42418</v>
      </c>
      <c r="B108" t="s">
        <v>194</v>
      </c>
      <c r="C108" s="60">
        <v>12</v>
      </c>
      <c r="D108" s="40">
        <f ca="1">TODAY()-ROUNDDOWN(A108,0)</f>
        <v>0</v>
      </c>
      <c r="E108" s="56">
        <f>COUNTIFS(A:A,表1[[#This Row],[时间]],B:B,表1[[#This Row],[项目]])</f>
        <v>1</v>
      </c>
    </row>
    <row r="109" spans="1:5" x14ac:dyDescent="0.2">
      <c r="A109" s="55">
        <v>42418</v>
      </c>
      <c r="B109" t="s">
        <v>138</v>
      </c>
      <c r="C109" s="60">
        <v>16</v>
      </c>
      <c r="D109" s="40">
        <f ca="1">TODAY()-ROUNDDOWN(A109,0)</f>
        <v>0</v>
      </c>
      <c r="E109" s="56">
        <f>COUNTIFS(A:A,表1[[#This Row],[时间]],B:B,表1[[#This Row],[项目]])</f>
        <v>2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2016-02-18T12:43:34Z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