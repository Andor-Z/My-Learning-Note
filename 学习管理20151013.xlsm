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updateLinks="never"/>
  <mc:AlternateContent xmlns:mc="http://schemas.openxmlformats.org/markup-compatibility/2006">
    <mc:Choice Requires="x15">
      <x15ac:absPath xmlns:x15ac="http://schemas.microsoft.com/office/spreadsheetml/2010/11/ac" url="D:\GitHub\Python-note\"/>
    </mc:Choice>
  </mc:AlternateContent>
  <bookViews>
    <workbookView xWindow="0" yWindow="0" windowWidth="20910" windowHeight="9930" activeTab="4"/>
  </bookViews>
  <sheets>
    <sheet name="项目" sheetId="1" r:id="rId1"/>
    <sheet name="学习总体" sheetId="2" r:id="rId2"/>
    <sheet name="学习记录" sheetId="3" r:id="rId3"/>
    <sheet name="运动" sheetId="4" r:id="rId4"/>
    <sheet name="运动记录" sheetId="5" r:id="rId5"/>
  </sheets>
  <definedNames>
    <definedName name="_xlnm._FilterDatabase" localSheetId="1" hidden="1">学习总体!$A$1:$G$33</definedName>
    <definedName name="data">OFFSET(学习记录!$A$1,0,0,COUNTA(学习记录!$A:$A),COUNTA(学习记录!$1:$1))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运动">OFFSET(运动记录!$A$1,0,0,COUNTA(运动记录!$A:$A),COUNTA(运动记录!$1:$1))</definedName>
  </definedNames>
  <calcPr calcId="171027"/>
  <pivotCaches>
    <pivotCache cacheId="6" r:id="rId6"/>
    <pivotCache cacheId="10" r:id="rId7"/>
  </pivotCaches>
</workbook>
</file>

<file path=xl/calcChain.xml><?xml version="1.0" encoding="utf-8"?>
<calcChain xmlns="http://schemas.openxmlformats.org/spreadsheetml/2006/main">
  <c r="D280" i="5" l="1"/>
  <c r="D281" i="5"/>
  <c r="D282" i="5"/>
  <c r="D283" i="5"/>
  <c r="D284" i="5"/>
  <c r="E280" i="5"/>
  <c r="E281" i="5"/>
  <c r="E282" i="5"/>
  <c r="E283" i="5"/>
  <c r="E284" i="5"/>
  <c r="D279" i="5"/>
  <c r="E279" i="5"/>
  <c r="D278" i="5"/>
  <c r="E278" i="5"/>
  <c r="D276" i="5"/>
  <c r="D277" i="5"/>
  <c r="E276" i="5"/>
  <c r="E277" i="5"/>
  <c r="D274" i="5"/>
  <c r="D275" i="5"/>
  <c r="E274" i="5"/>
  <c r="E275" i="5"/>
  <c r="D265" i="5" l="1"/>
  <c r="D266" i="5"/>
  <c r="D267" i="5"/>
  <c r="D268" i="5"/>
  <c r="D269" i="5"/>
  <c r="D270" i="5"/>
  <c r="D271" i="5"/>
  <c r="D272" i="5"/>
  <c r="D273" i="5"/>
  <c r="E265" i="5"/>
  <c r="E266" i="5"/>
  <c r="E267" i="5"/>
  <c r="E268" i="5"/>
  <c r="E269" i="5"/>
  <c r="E270" i="5"/>
  <c r="E271" i="5"/>
  <c r="E272" i="5"/>
  <c r="E273" i="5"/>
  <c r="D260" i="5"/>
  <c r="D261" i="5"/>
  <c r="D262" i="5"/>
  <c r="D263" i="5"/>
  <c r="D264" i="5"/>
  <c r="E260" i="5"/>
  <c r="E261" i="5"/>
  <c r="E262" i="5"/>
  <c r="E263" i="5"/>
  <c r="E264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D247" i="5"/>
  <c r="E247" i="5"/>
  <c r="E246" i="5" l="1"/>
  <c r="D246" i="5"/>
  <c r="D238" i="5"/>
  <c r="D239" i="5"/>
  <c r="D240" i="5"/>
  <c r="D241" i="5"/>
  <c r="D242" i="5"/>
  <c r="D243" i="5"/>
  <c r="D244" i="5"/>
  <c r="D245" i="5"/>
  <c r="E238" i="5"/>
  <c r="E239" i="5"/>
  <c r="E240" i="5"/>
  <c r="E241" i="5"/>
  <c r="E242" i="5"/>
  <c r="E243" i="5"/>
  <c r="E244" i="5"/>
  <c r="E245" i="5"/>
  <c r="E230" i="5"/>
  <c r="E231" i="5"/>
  <c r="E232" i="5"/>
  <c r="E233" i="5"/>
  <c r="E234" i="5"/>
  <c r="E235" i="5"/>
  <c r="E236" i="5"/>
  <c r="E237" i="5"/>
  <c r="D230" i="5"/>
  <c r="D231" i="5"/>
  <c r="D232" i="5"/>
  <c r="D233" i="5"/>
  <c r="D234" i="5"/>
  <c r="D235" i="5"/>
  <c r="D236" i="5"/>
  <c r="D237" i="5"/>
  <c r="D222" i="5" l="1"/>
  <c r="D223" i="5"/>
  <c r="D224" i="5"/>
  <c r="D225" i="5"/>
  <c r="D226" i="5"/>
  <c r="D227" i="5"/>
  <c r="D228" i="5"/>
  <c r="D229" i="5"/>
  <c r="E222" i="5"/>
  <c r="E223" i="5"/>
  <c r="E224" i="5"/>
  <c r="E225" i="5"/>
  <c r="E226" i="5"/>
  <c r="E227" i="5"/>
  <c r="E228" i="5"/>
  <c r="E229" i="5"/>
  <c r="D214" i="5"/>
  <c r="D215" i="5"/>
  <c r="D216" i="5"/>
  <c r="D217" i="5"/>
  <c r="D218" i="5"/>
  <c r="D219" i="5"/>
  <c r="D220" i="5"/>
  <c r="D221" i="5"/>
  <c r="E214" i="5"/>
  <c r="E215" i="5"/>
  <c r="E216" i="5"/>
  <c r="E217" i="5"/>
  <c r="E218" i="5"/>
  <c r="E219" i="5"/>
  <c r="E220" i="5"/>
  <c r="E221" i="5"/>
  <c r="D213" i="5"/>
  <c r="E213" i="5"/>
  <c r="D206" i="5"/>
  <c r="D207" i="5"/>
  <c r="D208" i="5"/>
  <c r="D209" i="5"/>
  <c r="D210" i="5"/>
  <c r="D211" i="5"/>
  <c r="D212" i="5"/>
  <c r="E206" i="5"/>
  <c r="E207" i="5"/>
  <c r="E208" i="5"/>
  <c r="E209" i="5"/>
  <c r="E210" i="5"/>
  <c r="E211" i="5"/>
  <c r="E212" i="5"/>
  <c r="E9" i="2" l="1"/>
  <c r="G9" i="2" s="1"/>
  <c r="D204" i="5" l="1"/>
  <c r="D205" i="5"/>
  <c r="E204" i="5"/>
  <c r="E205" i="5"/>
  <c r="D197" i="5"/>
  <c r="D198" i="5"/>
  <c r="D199" i="5"/>
  <c r="D200" i="5"/>
  <c r="D201" i="5"/>
  <c r="D202" i="5"/>
  <c r="D203" i="5"/>
  <c r="E197" i="5"/>
  <c r="E198" i="5"/>
  <c r="E199" i="5"/>
  <c r="E200" i="5"/>
  <c r="E201" i="5"/>
  <c r="E202" i="5"/>
  <c r="E203" i="5"/>
  <c r="D195" i="5"/>
  <c r="D196" i="5"/>
  <c r="E195" i="5"/>
  <c r="E196" i="5"/>
  <c r="D188" i="5"/>
  <c r="D189" i="5"/>
  <c r="D190" i="5"/>
  <c r="D191" i="5"/>
  <c r="D192" i="5"/>
  <c r="D193" i="5"/>
  <c r="D194" i="5"/>
  <c r="E188" i="5"/>
  <c r="E189" i="5"/>
  <c r="E190" i="5"/>
  <c r="E191" i="5"/>
  <c r="E192" i="5"/>
  <c r="E193" i="5"/>
  <c r="E194" i="5"/>
  <c r="D182" i="5"/>
  <c r="D183" i="5"/>
  <c r="D184" i="5"/>
  <c r="D185" i="5"/>
  <c r="D186" i="5"/>
  <c r="D187" i="5"/>
  <c r="E182" i="5"/>
  <c r="E183" i="5"/>
  <c r="E184" i="5"/>
  <c r="E185" i="5"/>
  <c r="E186" i="5"/>
  <c r="E187" i="5"/>
  <c r="D181" i="5"/>
  <c r="E181" i="5"/>
  <c r="D179" i="5"/>
  <c r="D180" i="5"/>
  <c r="E179" i="5"/>
  <c r="E180" i="5"/>
  <c r="D177" i="5" l="1"/>
  <c r="D178" i="5"/>
  <c r="E177" i="5"/>
  <c r="E178" i="5"/>
  <c r="D170" i="5" l="1"/>
  <c r="D171" i="5"/>
  <c r="D172" i="5"/>
  <c r="D173" i="5"/>
  <c r="D174" i="5"/>
  <c r="D175" i="5"/>
  <c r="D176" i="5"/>
  <c r="E170" i="5"/>
  <c r="E171" i="5"/>
  <c r="E172" i="5"/>
  <c r="E173" i="5"/>
  <c r="E174" i="5"/>
  <c r="E175" i="5"/>
  <c r="E176" i="5"/>
  <c r="E8" i="2" l="1"/>
  <c r="E5" i="2" l="1"/>
  <c r="E4" i="2"/>
  <c r="E35" i="2"/>
  <c r="E6" i="2"/>
  <c r="E2" i="2"/>
  <c r="D163" i="5" l="1"/>
  <c r="D164" i="5"/>
  <c r="D165" i="5"/>
  <c r="D166" i="5"/>
  <c r="D167" i="5"/>
  <c r="D168" i="5"/>
  <c r="D169" i="5"/>
  <c r="E163" i="5"/>
  <c r="E164" i="5"/>
  <c r="E165" i="5"/>
  <c r="E166" i="5"/>
  <c r="E167" i="5"/>
  <c r="E168" i="5"/>
  <c r="E169" i="5"/>
  <c r="D162" i="5" l="1"/>
  <c r="E162" i="5"/>
  <c r="D161" i="5"/>
  <c r="E161" i="5"/>
  <c r="D157" i="5"/>
  <c r="D158" i="5"/>
  <c r="D159" i="5"/>
  <c r="D160" i="5"/>
  <c r="E157" i="5"/>
  <c r="E158" i="5"/>
  <c r="E159" i="5"/>
  <c r="E160" i="5"/>
  <c r="D156" i="5"/>
  <c r="E156" i="5"/>
  <c r="D155" i="5"/>
  <c r="E155" i="5"/>
  <c r="D153" i="5"/>
  <c r="D154" i="5"/>
  <c r="E153" i="5"/>
  <c r="E154" i="5"/>
  <c r="D152" i="5"/>
  <c r="E152" i="5"/>
  <c r="D151" i="5"/>
  <c r="E151" i="5"/>
  <c r="D150" i="5"/>
  <c r="E150" i="5"/>
  <c r="D149" i="5"/>
  <c r="E149" i="5"/>
  <c r="D148" i="5"/>
  <c r="E148" i="5"/>
  <c r="D142" i="5" l="1"/>
  <c r="D143" i="5"/>
  <c r="D144" i="5"/>
  <c r="D145" i="5"/>
  <c r="D146" i="5"/>
  <c r="D147" i="5"/>
  <c r="E142" i="5"/>
  <c r="E143" i="5"/>
  <c r="E144" i="5"/>
  <c r="E145" i="5"/>
  <c r="E146" i="5"/>
  <c r="E147" i="5"/>
  <c r="D137" i="5"/>
  <c r="D138" i="5"/>
  <c r="D139" i="5"/>
  <c r="D140" i="5"/>
  <c r="D141" i="5"/>
  <c r="E137" i="5"/>
  <c r="E138" i="5"/>
  <c r="E139" i="5"/>
  <c r="E140" i="5"/>
  <c r="E141" i="5"/>
  <c r="D136" i="5"/>
  <c r="E136" i="5"/>
  <c r="D130" i="5" l="1"/>
  <c r="D131" i="5"/>
  <c r="D132" i="5"/>
  <c r="D133" i="5"/>
  <c r="D134" i="5"/>
  <c r="D135" i="5"/>
  <c r="E130" i="5"/>
  <c r="E131" i="5"/>
  <c r="E132" i="5"/>
  <c r="E133" i="5"/>
  <c r="E134" i="5"/>
  <c r="E135" i="5"/>
  <c r="D123" i="5"/>
  <c r="D124" i="5"/>
  <c r="D125" i="5"/>
  <c r="D126" i="5"/>
  <c r="D127" i="5"/>
  <c r="D128" i="5"/>
  <c r="D129" i="5"/>
  <c r="E123" i="5"/>
  <c r="E124" i="5"/>
  <c r="E125" i="5"/>
  <c r="E126" i="5"/>
  <c r="E127" i="5"/>
  <c r="E128" i="5"/>
  <c r="E129" i="5"/>
  <c r="D116" i="5"/>
  <c r="D117" i="5"/>
  <c r="D118" i="5"/>
  <c r="D119" i="5"/>
  <c r="D120" i="5"/>
  <c r="D121" i="5"/>
  <c r="D122" i="5"/>
  <c r="E116" i="5"/>
  <c r="E117" i="5"/>
  <c r="E118" i="5"/>
  <c r="E119" i="5"/>
  <c r="E120" i="5"/>
  <c r="E121" i="5"/>
  <c r="E122" i="5"/>
  <c r="D115" i="5"/>
  <c r="E115" i="5"/>
  <c r="D114" i="5"/>
  <c r="E114" i="5"/>
  <c r="E113" i="5"/>
  <c r="D113" i="5"/>
  <c r="E112" i="5"/>
  <c r="D112" i="5"/>
  <c r="D111" i="5"/>
  <c r="E111" i="5"/>
  <c r="D110" i="5"/>
  <c r="E110" i="5"/>
  <c r="D109" i="5" l="1"/>
  <c r="E109" i="5"/>
  <c r="D108" i="5"/>
  <c r="E108" i="5"/>
  <c r="D107" i="5"/>
  <c r="E107" i="5"/>
  <c r="D106" i="5"/>
  <c r="E106" i="5"/>
  <c r="D105" i="5"/>
  <c r="E105" i="5"/>
  <c r="D104" i="5"/>
  <c r="E104" i="5"/>
  <c r="D103" i="5"/>
  <c r="E103" i="5"/>
  <c r="D102" i="5" l="1"/>
  <c r="E102" i="5"/>
  <c r="D101" i="5"/>
  <c r="E101" i="5"/>
  <c r="D100" i="5"/>
  <c r="E100" i="5"/>
  <c r="D99" i="5"/>
  <c r="E99" i="5"/>
  <c r="D98" i="5"/>
  <c r="E98" i="5"/>
  <c r="D97" i="5"/>
  <c r="E97" i="5"/>
  <c r="D96" i="5"/>
  <c r="E96" i="5"/>
  <c r="D95" i="5"/>
  <c r="E95" i="5"/>
  <c r="B115" i="3" l="1"/>
  <c r="D115" i="3"/>
  <c r="D94" i="5" l="1"/>
  <c r="E94" i="5"/>
  <c r="D88" i="5" l="1"/>
  <c r="D89" i="5"/>
  <c r="D90" i="5"/>
  <c r="D91" i="5"/>
  <c r="D92" i="5"/>
  <c r="D93" i="5"/>
  <c r="E88" i="5"/>
  <c r="E89" i="5"/>
  <c r="E90" i="5"/>
  <c r="E91" i="5"/>
  <c r="E92" i="5"/>
  <c r="E93" i="5"/>
  <c r="D82" i="5"/>
  <c r="D83" i="5"/>
  <c r="D84" i="5"/>
  <c r="D85" i="5"/>
  <c r="D86" i="5"/>
  <c r="D87" i="5"/>
  <c r="E82" i="5"/>
  <c r="E83" i="5"/>
  <c r="E84" i="5"/>
  <c r="E85" i="5"/>
  <c r="E86" i="5"/>
  <c r="E87" i="5"/>
  <c r="D81" i="5" l="1"/>
  <c r="E81" i="5"/>
  <c r="D77" i="5"/>
  <c r="D78" i="5"/>
  <c r="D79" i="5"/>
  <c r="D80" i="5"/>
  <c r="E77" i="5"/>
  <c r="E78" i="5"/>
  <c r="E79" i="5"/>
  <c r="E80" i="5"/>
  <c r="D76" i="5"/>
  <c r="E76" i="5"/>
  <c r="D75" i="5" l="1"/>
  <c r="E75" i="5"/>
  <c r="D74" i="5"/>
  <c r="E74" i="5"/>
  <c r="D73" i="5"/>
  <c r="E73" i="5"/>
  <c r="D72" i="5" l="1"/>
  <c r="E72" i="5"/>
  <c r="E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D71" i="5"/>
  <c r="D70" i="5"/>
  <c r="B114" i="3" l="1"/>
  <c r="D114" i="3"/>
  <c r="D69" i="5" l="1"/>
  <c r="D68" i="5"/>
  <c r="D67" i="5"/>
  <c r="D66" i="5"/>
  <c r="D65" i="5"/>
  <c r="D64" i="5"/>
  <c r="D63" i="5"/>
  <c r="D62" i="5" l="1"/>
  <c r="D61" i="5" l="1"/>
  <c r="B113" i="3"/>
  <c r="D113" i="3"/>
  <c r="B112" i="3"/>
  <c r="D112" i="3"/>
  <c r="D60" i="5" l="1"/>
  <c r="D59" i="5"/>
  <c r="D58" i="5"/>
  <c r="D57" i="5"/>
  <c r="D56" i="5"/>
  <c r="D55" i="5"/>
  <c r="D54" i="5"/>
  <c r="D53" i="5"/>
  <c r="B111" i="3" l="1"/>
  <c r="D111" i="3"/>
  <c r="E17" i="2"/>
  <c r="B110" i="3"/>
  <c r="D110" i="3"/>
  <c r="B109" i="3" l="1"/>
  <c r="D109" i="3"/>
  <c r="B108" i="3"/>
  <c r="D108" i="3"/>
  <c r="B107" i="3" l="1"/>
  <c r="D107" i="3"/>
  <c r="B106" i="3"/>
  <c r="D106" i="3"/>
  <c r="D52" i="5" l="1"/>
  <c r="D51" i="5"/>
  <c r="D50" i="5"/>
  <c r="D49" i="5"/>
  <c r="D48" i="5"/>
  <c r="D47" i="5"/>
  <c r="D46" i="5"/>
  <c r="D45" i="5"/>
  <c r="D44" i="5"/>
  <c r="B105" i="3" l="1"/>
  <c r="D105" i="3"/>
  <c r="B104" i="3"/>
  <c r="D104" i="3"/>
  <c r="B103" i="3" l="1"/>
  <c r="D103" i="3"/>
  <c r="B99" i="3"/>
  <c r="B100" i="3"/>
  <c r="B101" i="3"/>
  <c r="B102" i="3"/>
  <c r="D101" i="3" l="1"/>
  <c r="D100" i="3"/>
  <c r="D99" i="3"/>
  <c r="E34" i="2" l="1"/>
  <c r="D102" i="3"/>
  <c r="B98" i="3" l="1"/>
  <c r="D98" i="3"/>
  <c r="B97" i="3" l="1"/>
  <c r="D97" i="3"/>
  <c r="B96" i="3" l="1"/>
  <c r="D96" i="3"/>
  <c r="B95" i="3" l="1"/>
  <c r="D95" i="3"/>
  <c r="B94" i="3" l="1"/>
  <c r="D94" i="3"/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D93" i="3"/>
  <c r="D92" i="3" l="1"/>
  <c r="D91" i="3" l="1"/>
  <c r="D90" i="3" l="1"/>
  <c r="D89" i="3"/>
  <c r="D88" i="3" l="1"/>
  <c r="D86" i="3" l="1"/>
  <c r="D87" i="3"/>
  <c r="D42" i="5"/>
  <c r="D43" i="5"/>
  <c r="D85" i="3" l="1"/>
  <c r="E84" i="3" l="1"/>
  <c r="D84" i="3" l="1"/>
  <c r="D41" i="5" l="1"/>
  <c r="D40" i="5"/>
  <c r="D39" i="5" l="1"/>
  <c r="D38" i="5"/>
  <c r="D37" i="5"/>
  <c r="D36" i="5"/>
  <c r="D35" i="5"/>
  <c r="D34" i="5"/>
  <c r="D83" i="3" l="1"/>
  <c r="D82" i="3"/>
  <c r="D81" i="3" l="1"/>
  <c r="D80" i="3"/>
  <c r="D33" i="5" l="1"/>
  <c r="D79" i="3"/>
  <c r="D78" i="3"/>
  <c r="D77" i="3" l="1"/>
  <c r="D76" i="3" l="1"/>
  <c r="D32" i="5" l="1"/>
  <c r="D2" i="5" l="1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75" i="3" l="1"/>
  <c r="D2" i="3" l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I131" i="3" l="1"/>
  <c r="E7" i="2" l="1"/>
  <c r="E37" i="2" l="1"/>
  <c r="G37" i="2" l="1"/>
  <c r="E11" i="2" l="1"/>
  <c r="E16" i="2" l="1"/>
  <c r="E21" i="2"/>
  <c r="E22" i="2" l="1"/>
  <c r="E22" i="3"/>
  <c r="E10" i="2" l="1"/>
  <c r="E14" i="3" l="1"/>
  <c r="J3" i="1" l="1"/>
  <c r="K3" i="1"/>
  <c r="I3" i="1"/>
  <c r="G3" i="1"/>
  <c r="H3" i="1"/>
  <c r="E19" i="2" l="1"/>
  <c r="E5" i="3" l="1"/>
  <c r="E33" i="2" s="1"/>
  <c r="E4" i="3"/>
  <c r="E3" i="2" s="1"/>
  <c r="E32" i="2"/>
  <c r="E31" i="2"/>
  <c r="E27" i="2"/>
  <c r="E26" i="2"/>
  <c r="E15" i="2"/>
  <c r="G15" i="2" s="1"/>
  <c r="E24" i="2"/>
  <c r="E20" i="2"/>
  <c r="E18" i="2"/>
  <c r="E30" i="2"/>
  <c r="E29" i="2"/>
  <c r="E28" i="2"/>
  <c r="E25" i="2"/>
  <c r="E12" i="2"/>
  <c r="E23" i="2"/>
  <c r="E13" i="2"/>
  <c r="G13" i="2" s="1"/>
  <c r="E14" i="2"/>
  <c r="E36" i="2"/>
  <c r="G36" i="2" s="1"/>
  <c r="H131" i="3" l="1"/>
</calcChain>
</file>

<file path=xl/comments1.xml><?xml version="1.0" encoding="utf-8"?>
<comments xmlns="http://schemas.openxmlformats.org/spreadsheetml/2006/main">
  <authors>
    <author>ZYF</author>
  </authors>
  <commentList>
    <comment ref="C33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<sst xmlns="http://schemas.openxmlformats.org/spreadsheetml/2006/main" count="681" uniqueCount="248">
  <si>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</si>
  <si>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</si>
  <si>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</si>
  <si>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</si>
  <si>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</si>
  <si>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</si>
  <si>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</si>
  <si>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</si>
  <si>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</si>
  <si>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</si>
  <si>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</si>
  <si>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</si>
  <si>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</si>
  <si>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</si>
  <si>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</si>
  <si>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</si>
  <si>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</si>
  <si>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</si>
  <si>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</si>
  <si>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</si>
  <si>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</si>
  <si>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</si>
  <si>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</si>
  <si>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</si>
  <si>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</si>
  <si>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</si>
  <si>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</si>
  <si>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</si>
  <si>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</si>
  <si>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</si>
  <si>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</si>
  <si>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</si>
  <si>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</si>
  <si>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</si>
  <si>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</si>
  <si>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</si>
  <si>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</si>
  <si>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</si>
  <si>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</si>
  <si>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</si>
  <si>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</si>
  <si>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</si>
  <si>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</si>
  <si>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</si>
  <si>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</si>
  <si>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</si>
  <si>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</si>
  <si>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</si>
  <si>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PY007</t>
  </si>
  <si>
    <t>PY008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</si>
  <si>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</si>
  <si>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</si>
  <si>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</si>
  <si>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</si>
  <si>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</si>
  <si>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</si>
  <si>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</si>
  <si>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</si>
  <si>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</si>
  <si>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</si>
  <si>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</si>
  <si>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</si>
  <si>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</si>
  <si>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</si>
  <si>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</si>
  <si>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</si>
  <si>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</si>
  <si>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</si>
  <si>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</si>
  <si>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</si>
  <si>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</si>
  <si>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</si>
  <si>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</si>
  <si>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</si>
  <si>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</si>
  <si>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</si>
  <si>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</si>
  <si>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</si>
  <si>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</si>
  <si>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</si>
  <si>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</si>
  <si>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</si>
  <si>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</si>
  <si>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</si>
  <si>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</si>
  <si>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</si>
  <si>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</si>
  <si>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</si>
  <si>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</si>
  <si>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</si>
  <si>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</si>
  <si>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</si>
  <si>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</si>
  <si>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</si>
  <si>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</si>
  <si>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</si>
  <si>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</si>
  <si>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</si>
  <si>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</si>
  <si>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</si>
  <si>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</si>
  <si>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</si>
  <si>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</si>
  <si>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</si>
  <si>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</si>
  <si>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</si>
  <si>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</si>
  <si>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</si>
  <si>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</si>
  <si>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</si>
  <si>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</si>
  <si>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</si>
  <si>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</si>
  <si>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</si>
  <si>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</si>
  <si>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</si>
  <si>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</si>
  <si>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</si>
  <si>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</si>
  <si>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</si>
  <si>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</si>
  <si>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</si>
  <si>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</si>
  <si>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</si>
  <si>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</si>
  <si>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</si>
  <si>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</si>
  <si>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</si>
  <si>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分类</t>
    <phoneticPr fontId="10" type="noConversion"/>
  </si>
  <si>
    <t>项目</t>
    <phoneticPr fontId="10" type="noConversion"/>
  </si>
  <si>
    <t>次数/时长</t>
    <phoneticPr fontId="10" type="noConversion"/>
  </si>
  <si>
    <t>仰卧起坐</t>
  </si>
  <si>
    <t>俯卧撑</t>
  </si>
  <si>
    <t>下蹲</t>
  </si>
  <si>
    <t>小腿上提</t>
  </si>
  <si>
    <t>平板支撑</t>
    <phoneticPr fontId="10" type="noConversion"/>
  </si>
  <si>
    <t>程序设计入门——C语言</t>
  </si>
  <si>
    <t>C</t>
    <phoneticPr fontId="4" type="noConversion"/>
  </si>
  <si>
    <t>行标签</t>
  </si>
  <si>
    <t>总计</t>
  </si>
  <si>
    <t>列标签</t>
  </si>
  <si>
    <t>眼保健操</t>
    <phoneticPr fontId="10" type="noConversion"/>
  </si>
  <si>
    <t>级别</t>
    <phoneticPr fontId="10" type="noConversion"/>
  </si>
  <si>
    <t>距离今天</t>
    <phoneticPr fontId="10" type="noConversion"/>
  </si>
  <si>
    <t>Python语言程序设计--中国大学MOOC</t>
  </si>
  <si>
    <t>Python语言程序设计--中国大学MOOC</t>
    <phoneticPr fontId="4" type="noConversion"/>
  </si>
  <si>
    <t>备注</t>
    <phoneticPr fontId="4" type="noConversion"/>
  </si>
  <si>
    <t>求和项:时长</t>
  </si>
  <si>
    <t>Python</t>
    <phoneticPr fontId="4" type="noConversion"/>
  </si>
  <si>
    <t>Flask官方教程</t>
  </si>
  <si>
    <t>Flask官方教程</t>
    <phoneticPr fontId="4" type="noConversion"/>
  </si>
  <si>
    <t>眼保健操</t>
  </si>
  <si>
    <t>学习起来比较困难，搁浅</t>
    <phoneticPr fontId="4" type="noConversion"/>
  </si>
  <si>
    <t>上提水桶</t>
  </si>
  <si>
    <t>上提水桶</t>
    <phoneticPr fontId="10" type="noConversion"/>
  </si>
  <si>
    <t>平板支撑</t>
  </si>
  <si>
    <t>9.学习OS SCHED  PY2EXE库</t>
    <phoneticPr fontId="4" type="noConversion"/>
  </si>
  <si>
    <t>分类</t>
  </si>
  <si>
    <t>分类</t>
    <phoneticPr fontId="4" type="noConversion"/>
  </si>
  <si>
    <t>Python</t>
    <phoneticPr fontId="4" type="noConversion"/>
  </si>
  <si>
    <t xml:space="preserve">C6 Data loading, storage, and file formats </t>
    <phoneticPr fontId="4" type="noConversion"/>
  </si>
  <si>
    <t>时间</t>
  </si>
  <si>
    <t>8.matplotlib</t>
    <phoneticPr fontId="4" type="noConversion"/>
  </si>
  <si>
    <t>p14</t>
    <phoneticPr fontId="4" type="noConversion"/>
  </si>
  <si>
    <t>Python</t>
    <phoneticPr fontId="4" type="noConversion"/>
  </si>
  <si>
    <t>Python爬虫学习</t>
  </si>
  <si>
    <t>Python爬虫学习</t>
    <phoneticPr fontId="4" type="noConversion"/>
  </si>
  <si>
    <t>平板计数</t>
  </si>
  <si>
    <t>平板计数</t>
    <phoneticPr fontId="10" type="noConversion"/>
  </si>
  <si>
    <t>本日组数</t>
    <phoneticPr fontId="10" type="noConversion"/>
  </si>
  <si>
    <t>爬虫</t>
    <phoneticPr fontId="4" type="noConversion"/>
  </si>
  <si>
    <t>web</t>
    <phoneticPr fontId="4" type="noConversion"/>
  </si>
  <si>
    <t>会计</t>
    <phoneticPr fontId="4" type="noConversion"/>
  </si>
  <si>
    <t>初级</t>
    <phoneticPr fontId="4" type="noConversion"/>
  </si>
  <si>
    <t>CPA</t>
    <phoneticPr fontId="4" type="noConversion"/>
  </si>
  <si>
    <t>实务</t>
    <phoneticPr fontId="4" type="noConversion"/>
  </si>
  <si>
    <t>柔韧性组合（一）</t>
  </si>
  <si>
    <t>柔韧性组合（一）</t>
    <phoneticPr fontId="10" type="noConversion"/>
  </si>
  <si>
    <t>哑铃6次A计划</t>
    <phoneticPr fontId="10" type="noConversion"/>
  </si>
  <si>
    <t>哑铃6次A计划</t>
  </si>
  <si>
    <t>English</t>
    <phoneticPr fontId="4" type="noConversion"/>
  </si>
  <si>
    <t>New Concept English 3</t>
    <phoneticPr fontId="4" type="noConversion"/>
  </si>
  <si>
    <t>卷腹</t>
  </si>
  <si>
    <t>卷腹</t>
    <phoneticPr fontId="10" type="noConversion"/>
  </si>
  <si>
    <t>仰卧举腿</t>
  </si>
  <si>
    <t>仰卧举腿</t>
    <phoneticPr fontId="10" type="noConversion"/>
  </si>
  <si>
    <t>哑铃推举</t>
  </si>
  <si>
    <t>哑铃推举</t>
    <phoneticPr fontId="10" type="noConversion"/>
  </si>
  <si>
    <t>标准</t>
    <phoneticPr fontId="10" type="noConversion"/>
  </si>
  <si>
    <t>10kg</t>
    <phoneticPr fontId="10" type="noConversion"/>
  </si>
  <si>
    <t>哑铃直拉</t>
  </si>
  <si>
    <t>哑铃直拉</t>
    <phoneticPr fontId="10" type="noConversion"/>
  </si>
  <si>
    <t>10kg</t>
    <phoneticPr fontId="10" type="noConversion"/>
  </si>
  <si>
    <t>哑铃初级四练计划</t>
    <phoneticPr fontId="10" type="noConversion"/>
  </si>
  <si>
    <t>周一</t>
    <phoneticPr fontId="10" type="noConversion"/>
  </si>
  <si>
    <t>周四</t>
    <phoneticPr fontId="10" type="noConversion"/>
  </si>
  <si>
    <t>周三</t>
    <phoneticPr fontId="10" type="noConversion"/>
  </si>
  <si>
    <t>俯身哑铃侧平举</t>
    <phoneticPr fontId="10" type="noConversion"/>
  </si>
  <si>
    <t>哑铃深蹲</t>
  </si>
  <si>
    <t>哑铃深蹲</t>
    <phoneticPr fontId="10" type="noConversion"/>
  </si>
  <si>
    <t>哑铃弓步蹲</t>
    <phoneticPr fontId="10" type="noConversion"/>
  </si>
  <si>
    <t>哑铃硬拉</t>
  </si>
  <si>
    <t>哑铃硬拉</t>
    <phoneticPr fontId="10" type="noConversion"/>
  </si>
  <si>
    <t>坐姿哑铃提踵</t>
    <phoneticPr fontId="10" type="noConversion"/>
  </si>
  <si>
    <t>周六</t>
    <phoneticPr fontId="10" type="noConversion"/>
  </si>
  <si>
    <t>锤式哑铃臂弯举</t>
  </si>
  <si>
    <t>锤式哑铃臂弯举</t>
    <phoneticPr fontId="10" type="noConversion"/>
  </si>
  <si>
    <t>哑铃腕弯举</t>
  </si>
  <si>
    <t>哑铃腕弯举</t>
    <phoneticPr fontId="10" type="noConversion"/>
  </si>
  <si>
    <t>哑铃腕翻转</t>
  </si>
  <si>
    <t>哑铃腕翻转</t>
    <phoneticPr fontId="10" type="noConversion"/>
  </si>
  <si>
    <t>哑铃耸肩</t>
  </si>
  <si>
    <t>哑铃耸肩</t>
    <phoneticPr fontId="10" type="noConversion"/>
  </si>
  <si>
    <t>哑铃绕肩</t>
  </si>
  <si>
    <t>哑铃绕肩</t>
    <phoneticPr fontId="10" type="noConversion"/>
  </si>
  <si>
    <t>单臂哑铃侧屈</t>
  </si>
  <si>
    <t>单臂哑铃侧屈</t>
    <phoneticPr fontId="10" type="noConversion"/>
  </si>
  <si>
    <t>求和项:次数/时长</t>
  </si>
  <si>
    <t>坐姿哑铃屈臂伸</t>
  </si>
  <si>
    <t>坐姿哑铃屈臂伸</t>
    <phoneticPr fontId="10" type="noConversion"/>
  </si>
  <si>
    <t>俯身支撑臂屈伸</t>
  </si>
  <si>
    <t>俯身支撑臂屈伸</t>
    <phoneticPr fontId="10" type="noConversion"/>
  </si>
  <si>
    <t>坐姿哑铃提踵</t>
    <phoneticPr fontId="10" type="noConversion"/>
  </si>
  <si>
    <t>坐姿哑铃臂弯举</t>
    <phoneticPr fontId="10" type="noConversion"/>
  </si>
  <si>
    <t xml:space="preserve">Flask Web Development </t>
    <phoneticPr fontId="4" type="noConversion"/>
  </si>
  <si>
    <t>Python for Data Analysis(利用Python进行数据分析)</t>
  </si>
  <si>
    <t>Python for Data Analysis(利用Python进行数据分析)</t>
    <phoneticPr fontId="4" type="noConversion"/>
  </si>
  <si>
    <t>Machine Learning in Action(机器学习实战)</t>
    <phoneticPr fontId="4" type="noConversion"/>
  </si>
  <si>
    <t>Linux</t>
    <phoneticPr fontId="4" type="noConversion"/>
  </si>
  <si>
    <t>鸟哥的Linux私房菜(基础篇)</t>
    <phoneticPr fontId="4" type="noConversion"/>
  </si>
  <si>
    <t>哑铃卧推</t>
    <phoneticPr fontId="10" type="noConversion"/>
  </si>
  <si>
    <t>哑铃飞鸟</t>
    <phoneticPr fontId="10" type="noConversion"/>
  </si>
  <si>
    <t>垂式弯举</t>
    <phoneticPr fontId="10" type="noConversion"/>
  </si>
  <si>
    <t>半蹲单臂弯举</t>
    <phoneticPr fontId="10" type="noConversion"/>
  </si>
  <si>
    <t>哑铃划船</t>
    <phoneticPr fontId="10" type="noConversion"/>
  </si>
  <si>
    <t>单臂哑铃划船</t>
    <phoneticPr fontId="10" type="noConversion"/>
  </si>
  <si>
    <t>哑铃耸肩</t>
    <phoneticPr fontId="10" type="noConversion"/>
  </si>
  <si>
    <t>单臂哑铃侧屈</t>
    <phoneticPr fontId="10" type="noConversion"/>
  </si>
  <si>
    <t>Flask Mega Tutorial</t>
    <phoneticPr fontId="4" type="noConversion"/>
  </si>
  <si>
    <t>常用</t>
    <phoneticPr fontId="10" type="noConversion"/>
  </si>
  <si>
    <t>哑铃手腕举</t>
    <phoneticPr fontId="10" type="noConversion"/>
  </si>
  <si>
    <t>垂式弯举</t>
  </si>
  <si>
    <t>半蹲单臂弯举</t>
  </si>
  <si>
    <t>哑铃划船</t>
  </si>
  <si>
    <t>单臂哑铃划船</t>
  </si>
  <si>
    <t>3月27日</t>
  </si>
  <si>
    <t>坐姿哑铃臂弯举</t>
  </si>
  <si>
    <t>哑铃手腕举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</si>
</sst>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h:mm;@"/>
    <numFmt numFmtId="177" formatCode="[$-F400]h:mm:ss\ AM/PM"/>
    <numFmt numFmtId="178" formatCode="0\ &quot;天&quot;"/>
    <numFmt numFmtId="179" formatCode="[h]:mm"/>
    <numFmt numFmtId="180" formatCode="0_ "/>
    <numFmt numFmtId="181" formatCode="mm/dd"/>
    <numFmt numFmtId="182" formatCode="m&quot;月&quot;d&quot;日&quot;;@"/>
    <numFmt numFmtId="183" formatCode="0_);[Red]\(0\)"/>
  </numFmts>
  <fonts count="12" x14ac:knownFonts="1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9"/>
      <name val="等线"/>
      <family val="3"/>
      <charset val="134"/>
    </font>
    <font>
      <u/>
      <sz val="11"/>
      <color theme="1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7">
    <xf numFmtId="177" fontId="0" fillId="0" borderId="0" xfId="0">
      <alignment vertical="center"/>
    </xf>
    <xf numFmtId="176" fontId="0" fillId="0" borderId="0" xfId="0" applyNumberForma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left" vertical="center"/>
    </xf>
    <xf numFmtId="177" fontId="9" fillId="0" borderId="0" xfId="0" applyFont="1">
      <alignment vertical="center"/>
    </xf>
    <xf numFmtId="177" fontId="0" fillId="0" borderId="0" xfId="0" applyNumberFormat="1">
      <alignment vertical="center"/>
    </xf>
    <xf numFmtId="177" fontId="9" fillId="0" borderId="0" xfId="0" applyNumberFormat="1" applyFont="1">
      <alignment vertical="center"/>
    </xf>
    <xf numFmtId="180" fontId="0" fillId="0" borderId="0" xfId="0" applyNumberFormat="1">
      <alignment vertical="center"/>
    </xf>
    <xf numFmtId="177" fontId="0" fillId="0" borderId="0" xfId="0" applyNumberFormat="1" applyAlignment="1">
      <alignment vertical="top"/>
    </xf>
    <xf numFmtId="177" fontId="0" fillId="0" borderId="0" xfId="0" applyNumberFormat="1" applyFont="1">
      <alignment vertical="center"/>
    </xf>
    <xf numFmtId="177" fontId="0" fillId="0" borderId="0" xfId="0" pivotButton="1" applyAlignment="1">
      <alignment horizontal="center" vertical="center"/>
    </xf>
    <xf numFmtId="177" fontId="0" fillId="0" borderId="0" xfId="0" applyAlignment="1">
      <alignment horizontal="left" vertical="center"/>
    </xf>
    <xf numFmtId="177" fontId="0" fillId="0" borderId="0" xfId="0" applyFont="1" applyAlignment="1">
      <alignment horizontal="center" vertical="center"/>
    </xf>
    <xf numFmtId="58" fontId="0" fillId="0" borderId="0" xfId="0" applyNumberFormat="1">
      <alignment vertical="center"/>
    </xf>
    <xf numFmtId="58" fontId="0" fillId="0" borderId="0" xfId="0" pivotButton="1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81" fontId="0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7" fontId="0" fillId="0" borderId="0" xfId="0" applyAlignment="1">
      <alignment horizontal="center" vertical="center"/>
    </xf>
    <xf numFmtId="37" fontId="0" fillId="0" borderId="0" xfId="0" applyNumberFormat="1" applyAlignment="1">
      <alignment horizontal="center" vertical="center"/>
    </xf>
    <xf numFmtId="177" fontId="11" fillId="0" borderId="0" xfId="1" applyFont="1">
      <alignment vertical="center"/>
    </xf>
    <xf numFmtId="182" fontId="9" fillId="0" borderId="0" xfId="0" applyNumberFormat="1" applyFont="1">
      <alignment vertical="center"/>
    </xf>
    <xf numFmtId="182" fontId="0" fillId="0" borderId="0" xfId="0" applyNumberFormat="1">
      <alignment vertical="center"/>
    </xf>
    <xf numFmtId="183" fontId="0" fillId="0" borderId="0" xfId="0" applyNumberFormat="1">
      <alignment vertical="center"/>
    </xf>
    <xf numFmtId="183" fontId="9" fillId="0" borderId="0" xfId="0" applyNumberFormat="1" applyFont="1">
      <alignment vertical="center"/>
    </xf>
    <xf numFmtId="177" fontId="0" fillId="0" borderId="0" xfId="0" applyNumberFormat="1">
      <alignment vertical="center"/>
    </xf>
    <xf numFmtId="177" fontId="0" fillId="0" borderId="0" xfId="0" applyNumberFormat="1" applyAlignment="1">
      <alignment horizontal="left" vertical="center"/>
    </xf>
    <xf numFmtId="177" fontId="3" fillId="0" borderId="0" xfId="0" applyNumberFormat="1" applyFont="1">
      <alignment vertical="center"/>
    </xf>
    <xf numFmtId="177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left" vertical="center"/>
    </xf>
    <xf numFmtId="177" fontId="2" fillId="0" borderId="0" xfId="1" applyFont="1">
      <alignment vertical="center"/>
    </xf>
    <xf numFmtId="0" fontId="0" fillId="0" borderId="0" xfId="0" pivotButton="1" applyNumberFormat="1">
      <alignment vertical="center"/>
    </xf>
    <xf numFmtId="0" fontId="0" fillId="0" borderId="0" xfId="0" applyNumberFormat="1">
      <alignment vertical="center"/>
    </xf>
    <xf numFmtId="0" fontId="0" fillId="0" borderId="0" xfId="0" applyNumberFormat="1" applyAlignment="1">
      <alignment horizontal="left" vertical="center"/>
    </xf>
    <xf numFmtId="0" fontId="9" fillId="0" borderId="0" xfId="0" pivotButton="1" applyNumberFormat="1" applyFont="1" applyAlignment="1">
      <alignment horizontal="left" vertical="center"/>
    </xf>
  </cellXfs>
  <cellStyles count="3">
    <cellStyle name="百分比" xfId="2" builtinId="5"/>
    <cellStyle name="常规" xfId="0" builtinId="0"/>
    <cellStyle name="超链接" xfId="1" builtinId="8"/>
  </cellStyles>
  <dxfs count="118">
    <dxf>
      <fill>
        <patternFill>
          <bgColor rgb="FFFFFF00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font>
        <color rgb="FFFF3300"/>
      </font>
    </dxf>
    <dxf>
      <numFmt numFmtId="45" formatCode="m&quot;月&quot;d&quot;日&quot;"/>
    </dxf>
    <dxf>
      <font>
        <color rgb="FFFF3300"/>
      </font>
      <alignment horizontal="lef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77" formatCode="[$-F400]h:mm:ss\ AM/PM"/>
    </dxf>
    <dxf>
      <numFmt numFmtId="176" formatCode="h:mm;@"/>
    </dxf>
    <dxf>
      <numFmt numFmtId="181" formatCode="mm/dd"/>
    </dxf>
    <dxf>
      <alignment horizontal="left" readingOrder="0"/>
    </dxf>
    <dxf>
      <alignment horizontal="left" readingOrder="0"/>
    </dxf>
    <dxf>
      <numFmt numFmtId="183" formatCode="0_);[Red]\(0\)"/>
    </dxf>
    <dxf>
      <numFmt numFmtId="180" formatCode="0_ "/>
    </dxf>
    <dxf>
      <numFmt numFmtId="0" formatCode="General"/>
    </dxf>
    <dxf>
      <numFmt numFmtId="182" formatCode="m&quot;月&quot;d&quot;日&quot;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h:mm;@"/>
    </dxf>
    <dxf>
      <numFmt numFmtId="0" formatCode="General"/>
    </dxf>
    <dxf>
      <numFmt numFmtId="176" formatCode="h:mm;@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176" formatCode="h:mm;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5" formatCode="#,##0;\-#,##0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1" formatCode="mm/dd"/>
      <alignment horizontal="center" vertical="center" textRotation="0" wrapText="0" indent="0" justifyLastLine="0" shrinkToFit="0" readingOrder="0"/>
    </dxf>
    <dxf>
      <alignment horizontal="left" readingOrder="0"/>
    </dxf>
    <dxf>
      <alignment horizontal="left" readingOrder="0"/>
    </dxf>
    <dxf>
      <numFmt numFmtId="181" formatCode="mm/dd"/>
    </dxf>
    <dxf>
      <numFmt numFmtId="176" formatCode="h:mm;@"/>
    </dxf>
    <dxf>
      <numFmt numFmtId="17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font>
        <color rgb="FFFF3300"/>
      </font>
      <alignment horizontal="left" readingOrder="0"/>
    </dxf>
    <dxf>
      <numFmt numFmtId="45" formatCode="m&quot;月&quot;d&quot;日&quot;"/>
    </dxf>
    <dxf>
      <font>
        <color rgb="FFFF3300"/>
      </font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font>
        <b val="0"/>
      </font>
    </dxf>
    <dxf>
      <font>
        <b val="0"/>
      </font>
    </dxf>
    <dxf>
      <font>
        <b val="0"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numFmt numFmtId="176" formatCode="h:mm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  <numFmt numFmtId="179" formatCode="[h]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  <numFmt numFmtId="176" formatCode="h:mm;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  <bottom style="thin">
          <color theme="4" tint="0.39997558519241921"/>
        </bottom>
      </border>
    </dxf>
    <dxf>
      <font>
        <b/>
        <color theme="1"/>
      </font>
      <border>
        <bottom style="thin">
          <color theme="4" tint="0.79998168889431442"/>
        </bottom>
      </border>
    </dxf>
    <dxf>
      <font>
        <color rgb="FFFF6600"/>
      </font>
    </dxf>
    <dxf>
      <border>
        <left style="thin">
          <color theme="4" tint="0.79998168889431442"/>
        </left>
        <right style="thin">
          <color theme="4" tint="0.79998168889431442"/>
        </right>
      </border>
    </dxf>
    <dxf>
      <fill>
        <patternFill patternType="solid">
          <fgColor theme="4" tint="0.39997558519241921"/>
          <bgColor theme="4" tint="0.39997558519241921"/>
        </patternFill>
      </fill>
    </dxf>
    <dxf>
      <font>
        <color rgb="FFFF3300"/>
      </font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</dxf>
    <dxf>
      <font>
        <b/>
        <i val="0"/>
        <color theme="0"/>
      </font>
      <fill>
        <patternFill patternType="solid">
          <fgColor theme="4" tint="-0.499984740745262"/>
          <bgColor theme="4" tint="-0.499984740745262"/>
        </patternFill>
      </fill>
      <border>
        <bottom style="thin">
          <color theme="4"/>
        </bottom>
        <horizontal style="thin">
          <color theme="4" tint="-0.499984740745262"/>
        </horizontal>
      </border>
    </dxf>
    <dxf>
      <font>
        <color theme="1"/>
      </font>
      <fill>
        <patternFill patternType="solid">
          <fgColor theme="4" tint="0.59999389629810485"/>
          <bgColor theme="4" tint="0.59999389629810485"/>
        </patternFill>
      </fill>
      <border>
        <horizontal style="thin">
          <color theme="4" tint="0.79998168889431442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MySqlDefault" pivot="0" table="0" count="2">
      <tableStyleElement type="wholeTable" dxfId="117"/>
      <tableStyleElement type="headerRow" dxfId="116"/>
    </tableStyle>
    <tableStyle name="学习" table="0" count="12">
      <tableStyleElement type="wholeTable" dxfId="115"/>
      <tableStyleElement type="headerRow" dxfId="114"/>
      <tableStyleElement type="totalRow" dxfId="113"/>
      <tableStyleElement type="firstColumn" dxfId="112"/>
      <tableStyleElement type="secondRowStripe" dxfId="111"/>
      <tableStyleElement type="secondColumnStripe" dxfId="110"/>
      <tableStyleElement type="firstSubtotalColumn" dxfId="109"/>
      <tableStyleElement type="firstSubtotalRow" dxfId="108"/>
      <tableStyleElement type="firstRowSubheading" dxfId="107"/>
      <tableStyleElement type="secondRowSubheading" dxfId="106"/>
      <tableStyleElement type="pageFieldLabels" dxfId="105"/>
      <tableStyleElement type="pageFieldValues" dxfId="104"/>
    </tableStyle>
  </tableStyles>
  <colors>
    <mruColors>
      <color rgb="FFFF3300"/>
      <color rgb="FFFF6600"/>
      <color rgb="FFFF0000"/>
      <color rgb="FF66FF66"/>
      <color rgb="FFFF5050"/>
      <color rgb="FFFF7C80"/>
      <color rgb="FFFF6699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457.798420370367" createdVersion="5" refreshedVersion="6" minRefreshableVersion="3" recordCount="114">
  <cacheSource type="worksheet">
    <worksheetSource name="data"/>
  </cacheSource>
  <cacheFields count="8">
    <cacheField name="日期" numFmtId="181">
      <sharedItems containsSemiMixedTypes="0" containsNonDate="0" containsDate="1" containsString="0" minDate="2015-10-23T00:00:00" maxDate="2016-03-06T00:00:00" count="51"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9T00:00:00"/>
        <d v="2015-11-30T00:00:00"/>
        <d v="2015-12-01T00:00:00"/>
        <d v="2015-12-02T00:00:00"/>
        <d v="2015-12-03T00:00:00"/>
        <d v="2015-12-04T00:00:00"/>
        <d v="2015-12-06T00:00:00"/>
        <d v="2015-12-07T00:00:00"/>
        <d v="2015-12-08T00:00:00"/>
        <d v="2015-12-09T00:00:00"/>
        <d v="2015-12-10T00:00:00"/>
        <d v="2015-12-14T00:00:00"/>
        <d v="2015-12-15T00:00:00"/>
        <d v="2015-12-16T00:00:00"/>
        <d v="2015-12-18T00:00:00"/>
        <d v="2016-03-05T00:00:00"/>
        <d v="2016-02-14T00:00:00" u="1"/>
      </sharedItems>
    </cacheField>
    <cacheField name="分类" numFmtId="177">
      <sharedItems count="9">
        <s v="Excel"/>
        <s v="经济学-微观-初级"/>
        <s v="Python"/>
        <s v="VB.NET"/>
        <s v="字帖-英语"/>
        <s v="math-advanced math"/>
        <s v="English"/>
        <e v="#N/A"/>
        <e v="#REF!" u="1"/>
      </sharedItems>
    </cacheField>
    <cacheField name="科目" numFmtId="177">
      <sharedItems containsBlank="1" count="20">
        <s v="王佩丰Excel"/>
        <s v="曼昆-经济学原理（微观分册）"/>
        <s v="集体智慧编程(Programming Collective Intelligence)"/>
        <s v="VB.NET程序入门-中国大学MOOC"/>
        <s v="An Introduction to Interactive Programming in Python"/>
        <s v="微观经济学-中国大学MOOC"/>
        <s v="Python Cookbook"/>
        <s v="好快-意大利斜体"/>
        <s v="高数基础精讲-张宇"/>
        <s v="高等数学（一）-中国大学MOOC"/>
        <s v="Python 3.0教程-廖雪峰"/>
        <s v="百词斩-考研核心词汇"/>
        <s v="[王佩丰]Excel2010数据透视表视频教程"/>
        <s v="Python语言程序设计--中国大学MOOC"/>
        <s v="Flask官方教程"/>
        <s v="Think Python"/>
        <s v="Python for Data Analysis(利用Python进行数据分析)"/>
        <s v="Python爬虫学习"/>
        <m/>
        <s v="Python for Data Analysis" u="1"/>
      </sharedItems>
    </cacheField>
    <cacheField name="距离今天" numFmtId="37">
      <sharedItems containsSemiMixedTypes="0" containsString="0" containsNumber="1" containsInteger="1" minValue="23" maxValue="157"/>
    </cacheField>
    <cacheField name="时长" numFmtId="176">
      <sharedItems containsNonDate="0" containsDate="1" containsString="0" containsBlank="1" minDate="1899-12-30T00:21:00" maxDate="1899-12-30T05:00:00"/>
    </cacheField>
    <cacheField name="备注" numFmtId="177">
      <sharedItems containsBlank="1"/>
    </cacheField>
    <cacheField name="开始时间" numFmtId="176">
      <sharedItems containsNonDate="0" containsDate="1" containsString="0" containsBlank="1" minDate="1899-12-30T00:00:00" maxDate="1899-12-31T00:00:00"/>
    </cacheField>
    <cacheField name="结束时间" numFmtId="176">
      <sharedItems containsNonDate="0" containsDate="1" containsString="0" containsBlank="1" minDate="1899-12-30T02:25:00" maxDate="1899-12-30T20:45: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457.798420601852" createdVersion="6" refreshedVersion="6" minRefreshableVersion="3" recordCount="272">
  <cacheSource type="worksheet">
    <worksheetSource name="运动"/>
  </cacheSource>
  <cacheFields count="6">
    <cacheField name="时间" numFmtId="182">
      <sharedItems containsSemiMixedTypes="0" containsNonDate="0" containsDate="1" containsString="0" minDate="2015-11-15T00:00:00" maxDate="2016-03-28T00:00:00" count="31">
        <d v="2015-11-15T00:00:00"/>
        <d v="2015-11-17T00:00:00"/>
        <d v="2015-11-18T00:00:00"/>
        <d v="2015-11-19T00:00:00"/>
        <d v="2015-11-20T00:00:00"/>
        <d v="2015-11-22T00:00:00"/>
        <d v="2015-11-23T00:00:00"/>
        <d v="2015-11-24T00:00:00"/>
        <d v="2015-11-25T00:00:00"/>
        <d v="2015-11-27T00:00:00"/>
        <d v="2015-11-28T00:00:00"/>
        <d v="2015-11-30T00:00:00"/>
        <d v="2015-12-08T00:00:00"/>
        <d v="2015-12-15T00:00:00"/>
        <d v="2015-12-16T00:00:00"/>
        <d v="2016-01-03T00:00:00"/>
        <d v="2016-01-09T00:00:00"/>
        <d v="2016-01-12T00:00:00"/>
        <d v="2016-01-18T00:00:00"/>
        <d v="2016-02-04T00:00:00"/>
        <d v="2016-02-16T00:00:00"/>
        <d v="2016-02-18T00:00:00"/>
        <d v="2016-02-27T00:00:00"/>
        <d v="2016-02-28T00:00:00"/>
        <d v="2016-03-01T00:00:00"/>
        <d v="2016-03-05T00:00:00"/>
        <d v="2016-03-12T00:00:00"/>
        <d v="2016-03-13T00:00:00"/>
        <d v="2016-03-19T00:00:00"/>
        <d v="2016-03-20T00:00:00"/>
        <d v="2016-03-27T00:00:00"/>
      </sharedItems>
      <fieldGroup base="0">
        <rangePr groupBy="days" startDate="2015-11-15T00:00:00" endDate="2016-03-28T00:00:00"/>
        <groupItems count="368">
          <s v="&lt;2015-11-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6-3-28"/>
        </groupItems>
      </fieldGroup>
    </cacheField>
    <cacheField name="项目" numFmtId="177">
      <sharedItems count="35">
        <s v="下蹲"/>
        <s v="小腿上提"/>
        <s v="仰卧起坐"/>
        <s v="俯卧撑"/>
        <s v="眼保健操"/>
        <s v="上提水桶"/>
        <s v="平板支撑"/>
        <s v="平板计数"/>
        <s v="柔韧性组合（一）"/>
        <s v="哑铃6次A计划"/>
        <s v="卷腹"/>
        <s v="仰卧举腿"/>
        <s v="哑铃推举"/>
        <s v="哑铃直拉"/>
        <s v="哑铃硬拉"/>
        <s v="哑铃深蹲"/>
        <s v="俯身哑铃侧平举"/>
        <s v="哑铃弓步蹲"/>
        <s v="坐姿哑铃提踵"/>
        <s v="锤式哑铃臂弯举"/>
        <s v="哑铃腕弯举"/>
        <s v="哑铃腕翻转"/>
        <s v="哑铃耸肩"/>
        <s v="哑铃绕肩"/>
        <s v="单臂哑铃侧屈"/>
        <s v="坐姿哑铃屈臂伸"/>
        <s v="俯身支撑臂屈伸"/>
        <s v="坐姿哑铃臂弯举"/>
        <s v="垂式弯举"/>
        <s v="半蹲单臂弯举"/>
        <s v="哑铃划船"/>
        <s v="单臂哑铃划船"/>
        <s v="哑铃卧推"/>
        <s v="哑铃飞鸟"/>
        <s v="哑铃手腕举"/>
      </sharedItems>
    </cacheField>
    <cacheField name="次数/时长" numFmtId="0">
      <sharedItems containsSemiMixedTypes="0" containsString="0" containsNumber="1" containsInteger="1" minValue="1" maxValue="65"/>
    </cacheField>
    <cacheField name="距离今天" numFmtId="180">
      <sharedItems containsSemiMixedTypes="0" containsString="0" containsNumber="1" containsInteger="1" minValue="1" maxValue="134"/>
    </cacheField>
    <cacheField name="本日组数" numFmtId="183">
      <sharedItems containsSemiMixedTypes="0" containsString="0" containsNumber="1" containsInteger="1" minValue="1" maxValue="5"/>
    </cacheField>
    <cacheField name="标准" numFmtId="177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4">
  <r>
    <x v="0"/>
    <x v="0"/>
    <x v="0"/>
    <n v="157"/>
    <d v="1899-12-30T01:00:00"/>
    <m/>
    <m/>
    <m/>
  </r>
  <r>
    <x v="0"/>
    <x v="1"/>
    <x v="1"/>
    <n v="157"/>
    <d v="1899-12-30T01:30:00"/>
    <m/>
    <m/>
    <m/>
  </r>
  <r>
    <x v="1"/>
    <x v="2"/>
    <x v="2"/>
    <n v="156"/>
    <d v="1899-12-30T02:25:00"/>
    <m/>
    <d v="1899-12-30T00:00:00"/>
    <d v="1899-12-30T02:25:00"/>
  </r>
  <r>
    <x v="2"/>
    <x v="3"/>
    <x v="3"/>
    <n v="155"/>
    <d v="1899-12-30T00:21:00"/>
    <m/>
    <d v="1899-12-30T12:45:00"/>
    <d v="1899-12-30T13:06:00"/>
  </r>
  <r>
    <x v="3"/>
    <x v="0"/>
    <x v="0"/>
    <n v="154"/>
    <d v="1899-12-30T01:00:00"/>
    <m/>
    <m/>
    <m/>
  </r>
  <r>
    <x v="3"/>
    <x v="1"/>
    <x v="1"/>
    <n v="154"/>
    <d v="1899-12-30T01:00:00"/>
    <m/>
    <m/>
    <m/>
  </r>
  <r>
    <x v="4"/>
    <x v="0"/>
    <x v="0"/>
    <n v="153"/>
    <d v="1899-12-30T01:30:00"/>
    <m/>
    <m/>
    <m/>
  </r>
  <r>
    <x v="4"/>
    <x v="2"/>
    <x v="4"/>
    <n v="153"/>
    <d v="1899-12-30T00:30:00"/>
    <m/>
    <m/>
    <m/>
  </r>
  <r>
    <x v="5"/>
    <x v="0"/>
    <x v="0"/>
    <n v="152"/>
    <d v="1899-12-30T00:45:00"/>
    <m/>
    <m/>
    <m/>
  </r>
  <r>
    <x v="5"/>
    <x v="1"/>
    <x v="5"/>
    <n v="152"/>
    <d v="1899-12-30T01:05:00"/>
    <m/>
    <m/>
    <m/>
  </r>
  <r>
    <x v="6"/>
    <x v="0"/>
    <x v="0"/>
    <n v="151"/>
    <d v="1899-12-30T01:00:00"/>
    <m/>
    <m/>
    <m/>
  </r>
  <r>
    <x v="7"/>
    <x v="0"/>
    <x v="0"/>
    <n v="150"/>
    <d v="1899-12-30T01:00:00"/>
    <m/>
    <m/>
    <m/>
  </r>
  <r>
    <x v="8"/>
    <x v="2"/>
    <x v="6"/>
    <n v="149"/>
    <d v="1899-12-30T00:53:00"/>
    <m/>
    <d v="1899-12-30T14:37:00"/>
    <d v="1899-12-30T15:30:00"/>
  </r>
  <r>
    <x v="9"/>
    <x v="4"/>
    <x v="7"/>
    <n v="147"/>
    <d v="1899-12-30T00:45:00"/>
    <m/>
    <m/>
    <m/>
  </r>
  <r>
    <x v="10"/>
    <x v="0"/>
    <x v="0"/>
    <n v="146"/>
    <d v="1899-12-30T01:00:00"/>
    <m/>
    <m/>
    <m/>
  </r>
  <r>
    <x v="10"/>
    <x v="4"/>
    <x v="7"/>
    <n v="146"/>
    <d v="1899-12-30T00:30:00"/>
    <m/>
    <m/>
    <m/>
  </r>
  <r>
    <x v="11"/>
    <x v="0"/>
    <x v="0"/>
    <n v="145"/>
    <d v="1899-12-30T01:00:00"/>
    <m/>
    <m/>
    <m/>
  </r>
  <r>
    <x v="11"/>
    <x v="4"/>
    <x v="7"/>
    <n v="145"/>
    <d v="1899-12-30T00:30:00"/>
    <m/>
    <m/>
    <m/>
  </r>
  <r>
    <x v="11"/>
    <x v="1"/>
    <x v="1"/>
    <n v="145"/>
    <d v="1899-12-30T01:00:00"/>
    <m/>
    <m/>
    <m/>
  </r>
  <r>
    <x v="11"/>
    <x v="1"/>
    <x v="5"/>
    <n v="145"/>
    <d v="1899-12-30T01:30:00"/>
    <m/>
    <m/>
    <m/>
  </r>
  <r>
    <x v="11"/>
    <x v="5"/>
    <x v="8"/>
    <n v="145"/>
    <d v="1899-12-30T01:04:00"/>
    <m/>
    <d v="1899-12-30T19:41:00"/>
    <d v="1899-12-30T20:45:00"/>
  </r>
  <r>
    <x v="12"/>
    <x v="0"/>
    <x v="0"/>
    <n v="144"/>
    <d v="1899-12-30T01:10:00"/>
    <m/>
    <m/>
    <m/>
  </r>
  <r>
    <x v="12"/>
    <x v="5"/>
    <x v="9"/>
    <n v="144"/>
    <d v="1899-12-30T00:30:00"/>
    <m/>
    <m/>
    <m/>
  </r>
  <r>
    <x v="12"/>
    <x v="2"/>
    <x v="10"/>
    <n v="144"/>
    <d v="1899-12-30T01:00:00"/>
    <m/>
    <m/>
    <m/>
  </r>
  <r>
    <x v="13"/>
    <x v="0"/>
    <x v="0"/>
    <n v="143"/>
    <d v="1899-12-30T01:00:00"/>
    <m/>
    <m/>
    <m/>
  </r>
  <r>
    <x v="13"/>
    <x v="4"/>
    <x v="7"/>
    <n v="143"/>
    <d v="1899-12-30T00:45:00"/>
    <m/>
    <m/>
    <m/>
  </r>
  <r>
    <x v="13"/>
    <x v="2"/>
    <x v="10"/>
    <n v="143"/>
    <d v="1899-12-30T01:00:00"/>
    <m/>
    <m/>
    <m/>
  </r>
  <r>
    <x v="14"/>
    <x v="5"/>
    <x v="9"/>
    <n v="142"/>
    <d v="1899-12-30T00:30:00"/>
    <m/>
    <m/>
    <m/>
  </r>
  <r>
    <x v="14"/>
    <x v="2"/>
    <x v="10"/>
    <n v="142"/>
    <d v="1899-12-30T02:30:00"/>
    <m/>
    <m/>
    <m/>
  </r>
  <r>
    <x v="15"/>
    <x v="1"/>
    <x v="1"/>
    <n v="141"/>
    <d v="1899-12-30T00:45:00"/>
    <m/>
    <m/>
    <m/>
  </r>
  <r>
    <x v="15"/>
    <x v="1"/>
    <x v="5"/>
    <n v="141"/>
    <d v="1899-12-30T00:30:00"/>
    <m/>
    <m/>
    <m/>
  </r>
  <r>
    <x v="15"/>
    <x v="5"/>
    <x v="9"/>
    <n v="141"/>
    <d v="1899-12-30T00:45:00"/>
    <s v="初步了解mathematica"/>
    <m/>
    <m/>
  </r>
  <r>
    <x v="16"/>
    <x v="2"/>
    <x v="10"/>
    <n v="140"/>
    <d v="1899-12-30T01:00:00"/>
    <m/>
    <m/>
    <m/>
  </r>
  <r>
    <x v="16"/>
    <x v="0"/>
    <x v="0"/>
    <n v="140"/>
    <d v="1899-12-30T01:00:00"/>
    <m/>
    <m/>
    <m/>
  </r>
  <r>
    <x v="16"/>
    <x v="4"/>
    <x v="7"/>
    <n v="140"/>
    <d v="1899-12-30T00:30:00"/>
    <m/>
    <m/>
    <m/>
  </r>
  <r>
    <x v="16"/>
    <x v="6"/>
    <x v="11"/>
    <n v="140"/>
    <d v="1899-12-30T01:15:00"/>
    <m/>
    <m/>
    <m/>
  </r>
  <r>
    <x v="17"/>
    <x v="0"/>
    <x v="0"/>
    <n v="139"/>
    <d v="1899-12-30T00:30:00"/>
    <s v="第24讲是宏表函数，觉得并没有什么用，没怎么看"/>
    <m/>
    <m/>
  </r>
  <r>
    <x v="17"/>
    <x v="4"/>
    <x v="7"/>
    <n v="139"/>
    <d v="1899-12-30T00:30:00"/>
    <m/>
    <m/>
    <m/>
  </r>
  <r>
    <x v="18"/>
    <x v="0"/>
    <x v="12"/>
    <n v="138"/>
    <d v="1899-12-30T01:00:00"/>
    <m/>
    <m/>
    <m/>
  </r>
  <r>
    <x v="18"/>
    <x v="6"/>
    <x v="11"/>
    <n v="138"/>
    <d v="1899-12-30T00:45:00"/>
    <m/>
    <m/>
    <m/>
  </r>
  <r>
    <x v="19"/>
    <x v="6"/>
    <x v="11"/>
    <n v="137"/>
    <d v="1899-12-30T01:00:00"/>
    <m/>
    <m/>
    <m/>
  </r>
  <r>
    <x v="19"/>
    <x v="4"/>
    <x v="7"/>
    <n v="137"/>
    <d v="1899-12-30T00:40:00"/>
    <m/>
    <m/>
    <m/>
  </r>
  <r>
    <x v="20"/>
    <x v="6"/>
    <x v="11"/>
    <n v="136"/>
    <d v="1899-12-30T01:10:00"/>
    <m/>
    <m/>
    <m/>
  </r>
  <r>
    <x v="20"/>
    <x v="4"/>
    <x v="7"/>
    <n v="136"/>
    <d v="1899-12-30T00:30:00"/>
    <m/>
    <m/>
    <m/>
  </r>
  <r>
    <x v="21"/>
    <x v="2"/>
    <x v="13"/>
    <n v="134"/>
    <d v="1899-12-30T02:00:00"/>
    <m/>
    <m/>
    <m/>
  </r>
  <r>
    <x v="22"/>
    <x v="4"/>
    <x v="7"/>
    <n v="133"/>
    <d v="1899-12-30T00:30:00"/>
    <m/>
    <m/>
    <m/>
  </r>
  <r>
    <x v="22"/>
    <x v="0"/>
    <x v="12"/>
    <n v="133"/>
    <d v="1899-12-30T01:00:00"/>
    <m/>
    <m/>
    <m/>
  </r>
  <r>
    <x v="22"/>
    <x v="6"/>
    <x v="11"/>
    <n v="133"/>
    <d v="1899-12-30T00:30:00"/>
    <m/>
    <m/>
    <m/>
  </r>
  <r>
    <x v="22"/>
    <x v="2"/>
    <x v="13"/>
    <n v="133"/>
    <d v="1899-12-30T01:00:00"/>
    <m/>
    <m/>
    <m/>
  </r>
  <r>
    <x v="22"/>
    <x v="2"/>
    <x v="13"/>
    <n v="133"/>
    <d v="1899-12-30T00:30:00"/>
    <m/>
    <m/>
    <m/>
  </r>
  <r>
    <x v="23"/>
    <x v="6"/>
    <x v="11"/>
    <n v="132"/>
    <d v="1899-12-30T00:45:00"/>
    <m/>
    <m/>
    <m/>
  </r>
  <r>
    <x v="23"/>
    <x v="4"/>
    <x v="7"/>
    <n v="132"/>
    <d v="1899-12-30T00:30:00"/>
    <m/>
    <m/>
    <m/>
  </r>
  <r>
    <x v="23"/>
    <x v="0"/>
    <x v="12"/>
    <n v="132"/>
    <d v="1899-12-30T00:45:00"/>
    <m/>
    <m/>
    <m/>
  </r>
  <r>
    <x v="23"/>
    <x v="2"/>
    <x v="14"/>
    <n v="132"/>
    <d v="1899-12-30T01:00:00"/>
    <m/>
    <m/>
    <m/>
  </r>
  <r>
    <x v="24"/>
    <x v="6"/>
    <x v="11"/>
    <n v="131"/>
    <d v="1899-12-30T00:45:00"/>
    <m/>
    <m/>
    <m/>
  </r>
  <r>
    <x v="24"/>
    <x v="4"/>
    <x v="7"/>
    <n v="131"/>
    <d v="1899-12-30T00:30:00"/>
    <m/>
    <m/>
    <m/>
  </r>
  <r>
    <x v="24"/>
    <x v="2"/>
    <x v="13"/>
    <n v="131"/>
    <d v="1899-12-30T00:30:00"/>
    <m/>
    <m/>
    <m/>
  </r>
  <r>
    <x v="25"/>
    <x v="2"/>
    <x v="13"/>
    <n v="130"/>
    <d v="1899-12-30T01:15:00"/>
    <m/>
    <m/>
    <m/>
  </r>
  <r>
    <x v="25"/>
    <x v="6"/>
    <x v="11"/>
    <n v="130"/>
    <d v="1899-12-30T00:30:00"/>
    <m/>
    <m/>
    <m/>
  </r>
  <r>
    <x v="25"/>
    <x v="5"/>
    <x v="9"/>
    <n v="130"/>
    <d v="1899-12-30T00:45:00"/>
    <m/>
    <m/>
    <m/>
  </r>
  <r>
    <x v="25"/>
    <x v="4"/>
    <x v="7"/>
    <n v="130"/>
    <d v="1899-12-30T00:45:00"/>
    <m/>
    <m/>
    <m/>
  </r>
  <r>
    <x v="25"/>
    <x v="0"/>
    <x v="12"/>
    <n v="130"/>
    <d v="1899-12-30T01:00:00"/>
    <m/>
    <m/>
    <m/>
  </r>
  <r>
    <x v="25"/>
    <x v="2"/>
    <x v="14"/>
    <n v="130"/>
    <d v="1899-12-30T02:00:00"/>
    <m/>
    <m/>
    <m/>
  </r>
  <r>
    <x v="26"/>
    <x v="6"/>
    <x v="11"/>
    <n v="129"/>
    <d v="1899-12-30T00:50:00"/>
    <m/>
    <m/>
    <m/>
  </r>
  <r>
    <x v="26"/>
    <x v="4"/>
    <x v="7"/>
    <n v="129"/>
    <d v="1899-12-30T00:40:00"/>
    <m/>
    <m/>
    <m/>
  </r>
  <r>
    <x v="26"/>
    <x v="2"/>
    <x v="10"/>
    <n v="129"/>
    <d v="1899-12-30T00:40:00"/>
    <m/>
    <m/>
    <m/>
  </r>
  <r>
    <x v="26"/>
    <x v="0"/>
    <x v="12"/>
    <n v="129"/>
    <d v="1899-12-30T01:00:00"/>
    <m/>
    <m/>
    <m/>
  </r>
  <r>
    <x v="26"/>
    <x v="2"/>
    <x v="14"/>
    <n v="129"/>
    <d v="1899-12-30T02:00:00"/>
    <m/>
    <m/>
    <m/>
  </r>
  <r>
    <x v="27"/>
    <x v="2"/>
    <x v="14"/>
    <n v="128"/>
    <d v="1899-12-30T01:25:00"/>
    <s v="学习起来比较困难，搁浅"/>
    <m/>
    <m/>
  </r>
  <r>
    <x v="28"/>
    <x v="2"/>
    <x v="13"/>
    <n v="127"/>
    <d v="1899-12-30T00:30:00"/>
    <m/>
    <m/>
    <m/>
  </r>
  <r>
    <x v="28"/>
    <x v="4"/>
    <x v="7"/>
    <n v="127"/>
    <d v="1899-12-30T00:30:00"/>
    <m/>
    <m/>
    <m/>
  </r>
  <r>
    <x v="29"/>
    <x v="4"/>
    <x v="7"/>
    <n v="126"/>
    <d v="1899-12-30T00:35:00"/>
    <m/>
    <m/>
    <m/>
  </r>
  <r>
    <x v="29"/>
    <x v="0"/>
    <x v="12"/>
    <n v="126"/>
    <d v="1899-12-30T00:30:00"/>
    <m/>
    <m/>
    <m/>
  </r>
  <r>
    <x v="29"/>
    <x v="2"/>
    <x v="13"/>
    <n v="126"/>
    <d v="1899-12-30T00:45:00"/>
    <m/>
    <m/>
    <m/>
  </r>
  <r>
    <x v="30"/>
    <x v="4"/>
    <x v="7"/>
    <n v="125"/>
    <d v="1899-12-30T00:45:00"/>
    <m/>
    <m/>
    <m/>
  </r>
  <r>
    <x v="30"/>
    <x v="6"/>
    <x v="11"/>
    <n v="125"/>
    <d v="1899-12-30T01:00:00"/>
    <m/>
    <m/>
    <m/>
  </r>
  <r>
    <x v="31"/>
    <x v="4"/>
    <x v="7"/>
    <n v="124"/>
    <d v="1899-12-30T00:45:00"/>
    <m/>
    <m/>
    <m/>
  </r>
  <r>
    <x v="31"/>
    <x v="6"/>
    <x v="11"/>
    <n v="124"/>
    <d v="1899-12-30T01:00:00"/>
    <m/>
    <m/>
    <m/>
  </r>
  <r>
    <x v="32"/>
    <x v="6"/>
    <x v="11"/>
    <n v="123"/>
    <d v="1899-12-30T01:15:00"/>
    <m/>
    <m/>
    <m/>
  </r>
  <r>
    <x v="32"/>
    <x v="0"/>
    <x v="12"/>
    <n v="123"/>
    <d v="1899-12-30T01:30:00"/>
    <m/>
    <m/>
    <m/>
  </r>
  <r>
    <x v="32"/>
    <x v="5"/>
    <x v="9"/>
    <n v="123"/>
    <d v="1899-12-30T00:30:00"/>
    <m/>
    <m/>
    <m/>
  </r>
  <r>
    <x v="33"/>
    <x v="4"/>
    <x v="7"/>
    <n v="122"/>
    <d v="1899-12-30T00:45:00"/>
    <m/>
    <m/>
    <m/>
  </r>
  <r>
    <x v="34"/>
    <x v="5"/>
    <x v="8"/>
    <n v="120"/>
    <d v="1899-12-30T01:08:00"/>
    <m/>
    <d v="1899-12-30T11:02:00"/>
    <d v="1899-12-30T12:10:00"/>
  </r>
  <r>
    <x v="34"/>
    <x v="5"/>
    <x v="8"/>
    <n v="120"/>
    <d v="1899-12-30T01:00:00"/>
    <m/>
    <m/>
    <m/>
  </r>
  <r>
    <x v="35"/>
    <x v="4"/>
    <x v="7"/>
    <n v="119"/>
    <d v="1899-12-30T00:40:00"/>
    <m/>
    <m/>
    <m/>
  </r>
  <r>
    <x v="35"/>
    <x v="6"/>
    <x v="11"/>
    <n v="119"/>
    <d v="1899-12-30T01:00:00"/>
    <m/>
    <m/>
    <m/>
  </r>
  <r>
    <x v="36"/>
    <x v="6"/>
    <x v="11"/>
    <n v="118"/>
    <d v="1899-12-30T01:00:00"/>
    <m/>
    <m/>
    <m/>
  </r>
  <r>
    <x v="36"/>
    <x v="2"/>
    <x v="15"/>
    <n v="118"/>
    <d v="1899-12-30T01:00:00"/>
    <m/>
    <m/>
    <m/>
  </r>
  <r>
    <x v="36"/>
    <x v="4"/>
    <x v="7"/>
    <n v="118"/>
    <d v="1899-12-30T00:30:00"/>
    <m/>
    <m/>
    <m/>
  </r>
  <r>
    <x v="36"/>
    <x v="2"/>
    <x v="13"/>
    <n v="118"/>
    <d v="1899-12-30T02:00:00"/>
    <s v="9.学习OS SCHED  PY2EXE库"/>
    <m/>
    <m/>
  </r>
  <r>
    <x v="37"/>
    <x v="0"/>
    <x v="12"/>
    <n v="117"/>
    <d v="1899-12-30T01:00:00"/>
    <m/>
    <m/>
    <m/>
  </r>
  <r>
    <x v="37"/>
    <x v="4"/>
    <x v="7"/>
    <n v="117"/>
    <d v="1899-12-30T00:35:00"/>
    <m/>
    <m/>
    <m/>
  </r>
  <r>
    <x v="37"/>
    <x v="6"/>
    <x v="11"/>
    <n v="117"/>
    <d v="1899-12-30T01:00:00"/>
    <m/>
    <m/>
    <m/>
  </r>
  <r>
    <x v="37"/>
    <x v="2"/>
    <x v="13"/>
    <n v="117"/>
    <d v="1899-12-30T01:30:00"/>
    <m/>
    <m/>
    <m/>
  </r>
  <r>
    <x v="38"/>
    <x v="6"/>
    <x v="11"/>
    <n v="116"/>
    <d v="1899-12-30T00:40:00"/>
    <m/>
    <m/>
    <m/>
  </r>
  <r>
    <x v="38"/>
    <x v="4"/>
    <x v="7"/>
    <n v="116"/>
    <d v="1899-12-30T00:45:00"/>
    <m/>
    <m/>
    <m/>
  </r>
  <r>
    <x v="38"/>
    <x v="0"/>
    <x v="12"/>
    <n v="116"/>
    <d v="1899-12-30T00:30:00"/>
    <m/>
    <m/>
    <m/>
  </r>
  <r>
    <x v="39"/>
    <x v="6"/>
    <x v="11"/>
    <n v="115"/>
    <d v="1899-12-30T00:30:00"/>
    <m/>
    <m/>
    <m/>
  </r>
  <r>
    <x v="39"/>
    <x v="4"/>
    <x v="7"/>
    <n v="115"/>
    <d v="1899-12-30T00:30:00"/>
    <m/>
    <m/>
    <m/>
  </r>
  <r>
    <x v="39"/>
    <x v="0"/>
    <x v="12"/>
    <n v="115"/>
    <d v="1899-12-30T00:45:00"/>
    <m/>
    <m/>
    <m/>
  </r>
  <r>
    <x v="40"/>
    <x v="2"/>
    <x v="16"/>
    <n v="113"/>
    <d v="1899-12-30T04:00:00"/>
    <s v="C6 Data loading, storage, and file formats "/>
    <m/>
    <m/>
  </r>
  <r>
    <x v="41"/>
    <x v="2"/>
    <x v="16"/>
    <n v="112"/>
    <d v="1899-12-30T02:30:00"/>
    <m/>
    <m/>
    <m/>
  </r>
  <r>
    <x v="41"/>
    <x v="4"/>
    <x v="7"/>
    <n v="112"/>
    <d v="1899-12-30T00:30:00"/>
    <m/>
    <m/>
    <m/>
  </r>
  <r>
    <x v="42"/>
    <x v="4"/>
    <x v="7"/>
    <n v="111"/>
    <d v="1899-12-30T00:30:00"/>
    <m/>
    <m/>
    <m/>
  </r>
  <r>
    <x v="43"/>
    <x v="2"/>
    <x v="16"/>
    <n v="110"/>
    <d v="1899-12-30T02:30:00"/>
    <s v="8.matplotlib"/>
    <m/>
    <m/>
  </r>
  <r>
    <x v="44"/>
    <x v="2"/>
    <x v="16"/>
    <n v="109"/>
    <d v="1899-12-30T02:30:00"/>
    <s v="8.matplotlib"/>
    <m/>
    <m/>
  </r>
  <r>
    <x v="45"/>
    <x v="4"/>
    <x v="7"/>
    <n v="105"/>
    <d v="1899-12-30T00:45:00"/>
    <m/>
    <m/>
    <m/>
  </r>
  <r>
    <x v="45"/>
    <x v="2"/>
    <x v="2"/>
    <n v="105"/>
    <m/>
    <s v="p14"/>
    <m/>
    <m/>
  </r>
  <r>
    <x v="46"/>
    <x v="4"/>
    <x v="7"/>
    <n v="104"/>
    <d v="1899-12-30T00:45:00"/>
    <m/>
    <m/>
    <m/>
  </r>
  <r>
    <x v="46"/>
    <x v="2"/>
    <x v="17"/>
    <n v="104"/>
    <d v="1899-12-30T05:00:00"/>
    <m/>
    <m/>
    <m/>
  </r>
  <r>
    <x v="47"/>
    <x v="4"/>
    <x v="7"/>
    <n v="103"/>
    <d v="1899-12-30T00:30:00"/>
    <m/>
    <m/>
    <m/>
  </r>
  <r>
    <x v="47"/>
    <x v="6"/>
    <x v="11"/>
    <n v="103"/>
    <d v="1899-12-30T01:00:00"/>
    <m/>
    <m/>
    <m/>
  </r>
  <r>
    <x v="48"/>
    <x v="6"/>
    <x v="11"/>
    <n v="101"/>
    <d v="1899-12-30T00:45:00"/>
    <m/>
    <m/>
    <m/>
  </r>
  <r>
    <x v="49"/>
    <x v="7"/>
    <x v="18"/>
    <n v="23"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72">
  <r>
    <x v="0"/>
    <x v="0"/>
    <n v="30"/>
    <n v="134"/>
    <n v="2"/>
    <m/>
  </r>
  <r>
    <x v="0"/>
    <x v="1"/>
    <n v="50"/>
    <n v="134"/>
    <n v="2"/>
    <m/>
  </r>
  <r>
    <x v="0"/>
    <x v="2"/>
    <n v="13"/>
    <n v="134"/>
    <n v="2"/>
    <m/>
  </r>
  <r>
    <x v="0"/>
    <x v="3"/>
    <n v="10"/>
    <n v="134"/>
    <n v="2"/>
    <m/>
  </r>
  <r>
    <x v="0"/>
    <x v="0"/>
    <n v="30"/>
    <n v="134"/>
    <n v="2"/>
    <m/>
  </r>
  <r>
    <x v="0"/>
    <x v="1"/>
    <n v="45"/>
    <n v="134"/>
    <n v="2"/>
    <m/>
  </r>
  <r>
    <x v="0"/>
    <x v="2"/>
    <n v="20"/>
    <n v="134"/>
    <n v="2"/>
    <m/>
  </r>
  <r>
    <x v="0"/>
    <x v="3"/>
    <n v="15"/>
    <n v="134"/>
    <n v="2"/>
    <m/>
  </r>
  <r>
    <x v="1"/>
    <x v="3"/>
    <n v="20"/>
    <n v="132"/>
    <n v="3"/>
    <m/>
  </r>
  <r>
    <x v="1"/>
    <x v="3"/>
    <n v="15"/>
    <n v="132"/>
    <n v="3"/>
    <m/>
  </r>
  <r>
    <x v="1"/>
    <x v="1"/>
    <n v="35"/>
    <n v="132"/>
    <n v="1"/>
    <m/>
  </r>
  <r>
    <x v="1"/>
    <x v="2"/>
    <n v="20"/>
    <n v="132"/>
    <n v="1"/>
    <m/>
  </r>
  <r>
    <x v="1"/>
    <x v="3"/>
    <n v="15"/>
    <n v="132"/>
    <n v="3"/>
    <m/>
  </r>
  <r>
    <x v="1"/>
    <x v="0"/>
    <n v="35"/>
    <n v="132"/>
    <n v="1"/>
    <m/>
  </r>
  <r>
    <x v="2"/>
    <x v="4"/>
    <n v="1"/>
    <n v="131"/>
    <n v="1"/>
    <m/>
  </r>
  <r>
    <x v="3"/>
    <x v="4"/>
    <n v="1"/>
    <n v="130"/>
    <n v="1"/>
    <m/>
  </r>
  <r>
    <x v="3"/>
    <x v="3"/>
    <n v="15"/>
    <n v="130"/>
    <n v="1"/>
    <m/>
  </r>
  <r>
    <x v="4"/>
    <x v="3"/>
    <n v="10"/>
    <n v="129"/>
    <n v="3"/>
    <m/>
  </r>
  <r>
    <x v="4"/>
    <x v="3"/>
    <n v="15"/>
    <n v="129"/>
    <n v="3"/>
    <m/>
  </r>
  <r>
    <x v="4"/>
    <x v="3"/>
    <n v="16"/>
    <n v="129"/>
    <n v="3"/>
    <m/>
  </r>
  <r>
    <x v="5"/>
    <x v="5"/>
    <n v="10"/>
    <n v="127"/>
    <n v="5"/>
    <m/>
  </r>
  <r>
    <x v="5"/>
    <x v="5"/>
    <n v="10"/>
    <n v="127"/>
    <n v="5"/>
    <m/>
  </r>
  <r>
    <x v="5"/>
    <x v="5"/>
    <n v="10"/>
    <n v="127"/>
    <n v="5"/>
    <m/>
  </r>
  <r>
    <x v="5"/>
    <x v="5"/>
    <n v="10"/>
    <n v="127"/>
    <n v="5"/>
    <m/>
  </r>
  <r>
    <x v="5"/>
    <x v="5"/>
    <n v="10"/>
    <n v="127"/>
    <n v="5"/>
    <m/>
  </r>
  <r>
    <x v="6"/>
    <x v="4"/>
    <n v="1"/>
    <n v="126"/>
    <n v="1"/>
    <m/>
  </r>
  <r>
    <x v="6"/>
    <x v="3"/>
    <n v="17"/>
    <n v="126"/>
    <n v="1"/>
    <m/>
  </r>
  <r>
    <x v="6"/>
    <x v="5"/>
    <n v="20"/>
    <n v="126"/>
    <n v="1"/>
    <m/>
  </r>
  <r>
    <x v="7"/>
    <x v="5"/>
    <n v="10"/>
    <n v="125"/>
    <n v="1"/>
    <m/>
  </r>
  <r>
    <x v="7"/>
    <x v="3"/>
    <n v="15"/>
    <n v="125"/>
    <n v="2"/>
    <m/>
  </r>
  <r>
    <x v="7"/>
    <x v="3"/>
    <n v="18"/>
    <n v="125"/>
    <n v="2"/>
    <m/>
  </r>
  <r>
    <x v="8"/>
    <x v="3"/>
    <n v="15"/>
    <n v="124"/>
    <n v="1"/>
    <m/>
  </r>
  <r>
    <x v="9"/>
    <x v="1"/>
    <n v="30"/>
    <n v="122"/>
    <n v="2"/>
    <m/>
  </r>
  <r>
    <x v="9"/>
    <x v="0"/>
    <n v="40"/>
    <n v="122"/>
    <n v="2"/>
    <m/>
  </r>
  <r>
    <x v="9"/>
    <x v="6"/>
    <n v="60"/>
    <n v="122"/>
    <n v="1"/>
    <m/>
  </r>
  <r>
    <x v="9"/>
    <x v="3"/>
    <n v="15"/>
    <n v="122"/>
    <n v="1"/>
    <m/>
  </r>
  <r>
    <x v="9"/>
    <x v="1"/>
    <n v="40"/>
    <n v="122"/>
    <n v="2"/>
    <m/>
  </r>
  <r>
    <x v="9"/>
    <x v="0"/>
    <n v="40"/>
    <n v="122"/>
    <n v="2"/>
    <m/>
  </r>
  <r>
    <x v="10"/>
    <x v="0"/>
    <n v="30"/>
    <n v="121"/>
    <n v="1"/>
    <m/>
  </r>
  <r>
    <x v="10"/>
    <x v="1"/>
    <n v="35"/>
    <n v="121"/>
    <n v="1"/>
    <m/>
  </r>
  <r>
    <x v="11"/>
    <x v="3"/>
    <n v="15"/>
    <n v="119"/>
    <n v="2"/>
    <m/>
  </r>
  <r>
    <x v="11"/>
    <x v="3"/>
    <n v="20"/>
    <n v="119"/>
    <n v="2"/>
    <m/>
  </r>
  <r>
    <x v="12"/>
    <x v="3"/>
    <n v="13"/>
    <n v="111"/>
    <n v="2"/>
    <m/>
  </r>
  <r>
    <x v="12"/>
    <x v="0"/>
    <n v="30"/>
    <n v="111"/>
    <n v="2"/>
    <m/>
  </r>
  <r>
    <x v="12"/>
    <x v="1"/>
    <n v="40"/>
    <n v="111"/>
    <n v="2"/>
    <m/>
  </r>
  <r>
    <x v="12"/>
    <x v="2"/>
    <n v="15"/>
    <n v="111"/>
    <n v="1"/>
    <m/>
  </r>
  <r>
    <x v="12"/>
    <x v="6"/>
    <n v="60"/>
    <n v="111"/>
    <n v="2"/>
    <m/>
  </r>
  <r>
    <x v="12"/>
    <x v="1"/>
    <n v="41"/>
    <n v="111"/>
    <n v="2"/>
    <m/>
  </r>
  <r>
    <x v="12"/>
    <x v="3"/>
    <n v="10"/>
    <n v="111"/>
    <n v="2"/>
    <m/>
  </r>
  <r>
    <x v="12"/>
    <x v="0"/>
    <n v="30"/>
    <n v="111"/>
    <n v="2"/>
    <m/>
  </r>
  <r>
    <x v="12"/>
    <x v="6"/>
    <n v="60"/>
    <n v="111"/>
    <n v="2"/>
    <m/>
  </r>
  <r>
    <x v="13"/>
    <x v="3"/>
    <n v="13"/>
    <n v="104"/>
    <n v="2"/>
    <m/>
  </r>
  <r>
    <x v="13"/>
    <x v="1"/>
    <n v="40"/>
    <n v="104"/>
    <n v="2"/>
    <m/>
  </r>
  <r>
    <x v="13"/>
    <x v="2"/>
    <n v="15"/>
    <n v="104"/>
    <n v="2"/>
    <m/>
  </r>
  <r>
    <x v="13"/>
    <x v="0"/>
    <n v="30"/>
    <n v="104"/>
    <n v="2"/>
    <m/>
  </r>
  <r>
    <x v="13"/>
    <x v="3"/>
    <n v="15"/>
    <n v="104"/>
    <n v="2"/>
    <m/>
  </r>
  <r>
    <x v="13"/>
    <x v="1"/>
    <n v="35"/>
    <n v="104"/>
    <n v="2"/>
    <m/>
  </r>
  <r>
    <x v="13"/>
    <x v="2"/>
    <n v="15"/>
    <n v="104"/>
    <n v="2"/>
    <m/>
  </r>
  <r>
    <x v="13"/>
    <x v="0"/>
    <n v="30"/>
    <n v="104"/>
    <n v="2"/>
    <m/>
  </r>
  <r>
    <x v="14"/>
    <x v="3"/>
    <n v="15"/>
    <n v="103"/>
    <n v="4"/>
    <m/>
  </r>
  <r>
    <x v="14"/>
    <x v="3"/>
    <n v="15"/>
    <n v="103"/>
    <n v="4"/>
    <m/>
  </r>
  <r>
    <x v="14"/>
    <x v="3"/>
    <n v="12"/>
    <n v="103"/>
    <n v="4"/>
    <m/>
  </r>
  <r>
    <x v="14"/>
    <x v="2"/>
    <n v="18"/>
    <n v="103"/>
    <n v="2"/>
    <m/>
  </r>
  <r>
    <x v="14"/>
    <x v="1"/>
    <n v="40"/>
    <n v="103"/>
    <n v="1"/>
    <m/>
  </r>
  <r>
    <x v="14"/>
    <x v="0"/>
    <n v="30"/>
    <n v="103"/>
    <n v="2"/>
    <m/>
  </r>
  <r>
    <x v="14"/>
    <x v="2"/>
    <n v="16"/>
    <n v="103"/>
    <n v="2"/>
    <m/>
  </r>
  <r>
    <x v="14"/>
    <x v="3"/>
    <n v="12"/>
    <n v="103"/>
    <n v="4"/>
    <m/>
  </r>
  <r>
    <x v="14"/>
    <x v="0"/>
    <n v="30"/>
    <n v="103"/>
    <n v="2"/>
    <m/>
  </r>
  <r>
    <x v="15"/>
    <x v="7"/>
    <n v="60"/>
    <n v="85"/>
    <n v="3"/>
    <m/>
  </r>
  <r>
    <x v="15"/>
    <x v="7"/>
    <n v="54"/>
    <n v="85"/>
    <n v="3"/>
    <m/>
  </r>
  <r>
    <x v="15"/>
    <x v="7"/>
    <n v="54"/>
    <n v="85"/>
    <n v="3"/>
    <m/>
  </r>
  <r>
    <x v="16"/>
    <x v="3"/>
    <n v="10"/>
    <n v="79"/>
    <n v="1"/>
    <m/>
  </r>
  <r>
    <x v="16"/>
    <x v="2"/>
    <n v="10"/>
    <n v="79"/>
    <n v="1"/>
    <m/>
  </r>
  <r>
    <x v="16"/>
    <x v="1"/>
    <n v="36"/>
    <n v="79"/>
    <n v="1"/>
    <m/>
  </r>
  <r>
    <x v="17"/>
    <x v="6"/>
    <n v="60"/>
    <n v="76"/>
    <n v="1"/>
    <m/>
  </r>
  <r>
    <x v="17"/>
    <x v="2"/>
    <n v="16"/>
    <n v="76"/>
    <n v="1"/>
    <m/>
  </r>
  <r>
    <x v="17"/>
    <x v="3"/>
    <n v="15"/>
    <n v="76"/>
    <n v="1"/>
    <m/>
  </r>
  <r>
    <x v="17"/>
    <x v="0"/>
    <n v="30"/>
    <n v="76"/>
    <n v="1"/>
    <m/>
  </r>
  <r>
    <x v="17"/>
    <x v="1"/>
    <n v="40"/>
    <n v="76"/>
    <n v="1"/>
    <m/>
  </r>
  <r>
    <x v="17"/>
    <x v="8"/>
    <n v="1"/>
    <n v="76"/>
    <n v="1"/>
    <m/>
  </r>
  <r>
    <x v="18"/>
    <x v="6"/>
    <n v="61"/>
    <n v="70"/>
    <n v="2"/>
    <m/>
  </r>
  <r>
    <x v="18"/>
    <x v="2"/>
    <n v="11"/>
    <n v="70"/>
    <n v="2"/>
    <m/>
  </r>
  <r>
    <x v="18"/>
    <x v="3"/>
    <n v="15"/>
    <n v="70"/>
    <n v="2"/>
    <m/>
  </r>
  <r>
    <x v="18"/>
    <x v="0"/>
    <n v="30"/>
    <n v="70"/>
    <n v="2"/>
    <m/>
  </r>
  <r>
    <x v="18"/>
    <x v="1"/>
    <n v="35"/>
    <n v="70"/>
    <n v="2"/>
    <m/>
  </r>
  <r>
    <x v="18"/>
    <x v="8"/>
    <n v="1"/>
    <n v="70"/>
    <n v="2"/>
    <m/>
  </r>
  <r>
    <x v="18"/>
    <x v="6"/>
    <n v="60"/>
    <n v="70"/>
    <n v="2"/>
    <m/>
  </r>
  <r>
    <x v="18"/>
    <x v="2"/>
    <n v="12"/>
    <n v="70"/>
    <n v="2"/>
    <m/>
  </r>
  <r>
    <x v="18"/>
    <x v="3"/>
    <n v="15"/>
    <n v="70"/>
    <n v="2"/>
    <m/>
  </r>
  <r>
    <x v="18"/>
    <x v="0"/>
    <n v="35"/>
    <n v="70"/>
    <n v="2"/>
    <m/>
  </r>
  <r>
    <x v="18"/>
    <x v="1"/>
    <n v="30"/>
    <n v="70"/>
    <n v="2"/>
    <m/>
  </r>
  <r>
    <x v="18"/>
    <x v="8"/>
    <n v="1"/>
    <n v="70"/>
    <n v="2"/>
    <m/>
  </r>
  <r>
    <x v="19"/>
    <x v="9"/>
    <n v="2"/>
    <n v="53"/>
    <n v="1"/>
    <m/>
  </r>
  <r>
    <x v="20"/>
    <x v="6"/>
    <n v="60"/>
    <n v="41"/>
    <n v="3"/>
    <m/>
  </r>
  <r>
    <x v="20"/>
    <x v="6"/>
    <n v="60"/>
    <n v="41"/>
    <n v="3"/>
    <m/>
  </r>
  <r>
    <x v="20"/>
    <x v="2"/>
    <n v="20"/>
    <n v="41"/>
    <n v="2"/>
    <m/>
  </r>
  <r>
    <x v="20"/>
    <x v="2"/>
    <n v="20"/>
    <n v="41"/>
    <n v="2"/>
    <m/>
  </r>
  <r>
    <x v="20"/>
    <x v="10"/>
    <n v="8"/>
    <n v="41"/>
    <n v="1"/>
    <m/>
  </r>
  <r>
    <x v="20"/>
    <x v="11"/>
    <n v="11"/>
    <n v="41"/>
    <n v="1"/>
    <m/>
  </r>
  <r>
    <x v="20"/>
    <x v="6"/>
    <n v="65"/>
    <n v="41"/>
    <n v="3"/>
    <m/>
  </r>
  <r>
    <x v="20"/>
    <x v="3"/>
    <n v="15"/>
    <n v="41"/>
    <n v="1"/>
    <m/>
  </r>
  <r>
    <x v="21"/>
    <x v="2"/>
    <n v="20"/>
    <n v="39"/>
    <n v="1"/>
    <m/>
  </r>
  <r>
    <x v="21"/>
    <x v="6"/>
    <n v="60"/>
    <n v="39"/>
    <n v="1"/>
    <m/>
  </r>
  <r>
    <x v="21"/>
    <x v="10"/>
    <n v="12"/>
    <n v="39"/>
    <n v="1"/>
    <m/>
  </r>
  <r>
    <x v="21"/>
    <x v="3"/>
    <n v="15"/>
    <n v="39"/>
    <n v="2"/>
    <m/>
  </r>
  <r>
    <x v="21"/>
    <x v="1"/>
    <n v="30"/>
    <n v="39"/>
    <n v="1"/>
    <m/>
  </r>
  <r>
    <x v="21"/>
    <x v="11"/>
    <n v="12"/>
    <n v="39"/>
    <n v="1"/>
    <m/>
  </r>
  <r>
    <x v="21"/>
    <x v="3"/>
    <n v="16"/>
    <n v="39"/>
    <n v="2"/>
    <m/>
  </r>
  <r>
    <x v="22"/>
    <x v="12"/>
    <n v="12"/>
    <n v="30"/>
    <n v="5"/>
    <s v="10kg"/>
  </r>
  <r>
    <x v="22"/>
    <x v="13"/>
    <n v="16"/>
    <n v="30"/>
    <n v="5"/>
    <s v="10kg"/>
  </r>
  <r>
    <x v="22"/>
    <x v="12"/>
    <n v="14"/>
    <n v="30"/>
    <n v="5"/>
    <s v="10kg"/>
  </r>
  <r>
    <x v="22"/>
    <x v="13"/>
    <n v="14"/>
    <n v="30"/>
    <n v="5"/>
    <s v="10kg"/>
  </r>
  <r>
    <x v="22"/>
    <x v="14"/>
    <n v="13"/>
    <n v="30"/>
    <n v="3"/>
    <m/>
  </r>
  <r>
    <x v="22"/>
    <x v="15"/>
    <n v="15"/>
    <n v="30"/>
    <n v="4"/>
    <m/>
  </r>
  <r>
    <x v="22"/>
    <x v="12"/>
    <n v="14"/>
    <n v="30"/>
    <n v="5"/>
    <m/>
  </r>
  <r>
    <x v="22"/>
    <x v="13"/>
    <n v="20"/>
    <n v="30"/>
    <n v="5"/>
    <m/>
  </r>
  <r>
    <x v="22"/>
    <x v="16"/>
    <n v="12"/>
    <n v="30"/>
    <n v="3"/>
    <m/>
  </r>
  <r>
    <x v="22"/>
    <x v="15"/>
    <n v="15"/>
    <n v="30"/>
    <n v="4"/>
    <m/>
  </r>
  <r>
    <x v="22"/>
    <x v="17"/>
    <n v="20"/>
    <n v="30"/>
    <n v="3"/>
    <m/>
  </r>
  <r>
    <x v="22"/>
    <x v="14"/>
    <n v="16"/>
    <n v="30"/>
    <n v="3"/>
    <m/>
  </r>
  <r>
    <x v="22"/>
    <x v="18"/>
    <n v="20"/>
    <n v="30"/>
    <n v="3"/>
    <m/>
  </r>
  <r>
    <x v="22"/>
    <x v="12"/>
    <n v="15"/>
    <n v="30"/>
    <n v="5"/>
    <m/>
  </r>
  <r>
    <x v="22"/>
    <x v="13"/>
    <n v="20"/>
    <n v="30"/>
    <n v="5"/>
    <m/>
  </r>
  <r>
    <x v="22"/>
    <x v="16"/>
    <n v="10"/>
    <n v="30"/>
    <n v="3"/>
    <m/>
  </r>
  <r>
    <x v="22"/>
    <x v="15"/>
    <n v="16"/>
    <n v="30"/>
    <n v="4"/>
    <m/>
  </r>
  <r>
    <x v="22"/>
    <x v="17"/>
    <n v="20"/>
    <n v="30"/>
    <n v="3"/>
    <m/>
  </r>
  <r>
    <x v="22"/>
    <x v="14"/>
    <n v="12"/>
    <n v="30"/>
    <n v="3"/>
    <m/>
  </r>
  <r>
    <x v="22"/>
    <x v="18"/>
    <n v="15"/>
    <n v="30"/>
    <n v="3"/>
    <m/>
  </r>
  <r>
    <x v="22"/>
    <x v="12"/>
    <n v="13"/>
    <n v="30"/>
    <n v="5"/>
    <m/>
  </r>
  <r>
    <x v="22"/>
    <x v="13"/>
    <n v="15"/>
    <n v="30"/>
    <n v="5"/>
    <m/>
  </r>
  <r>
    <x v="22"/>
    <x v="16"/>
    <n v="10"/>
    <n v="30"/>
    <n v="3"/>
    <m/>
  </r>
  <r>
    <x v="22"/>
    <x v="15"/>
    <n v="15"/>
    <n v="30"/>
    <n v="4"/>
    <m/>
  </r>
  <r>
    <x v="22"/>
    <x v="17"/>
    <n v="20"/>
    <n v="30"/>
    <n v="3"/>
    <m/>
  </r>
  <r>
    <x v="22"/>
    <x v="18"/>
    <n v="15"/>
    <n v="30"/>
    <n v="3"/>
    <m/>
  </r>
  <r>
    <x v="23"/>
    <x v="19"/>
    <n v="14"/>
    <n v="29"/>
    <n v="2"/>
    <m/>
  </r>
  <r>
    <x v="23"/>
    <x v="20"/>
    <n v="12"/>
    <n v="29"/>
    <n v="2"/>
    <m/>
  </r>
  <r>
    <x v="23"/>
    <x v="21"/>
    <n v="13"/>
    <n v="29"/>
    <n v="2"/>
    <m/>
  </r>
  <r>
    <x v="23"/>
    <x v="22"/>
    <n v="12"/>
    <n v="29"/>
    <n v="2"/>
    <m/>
  </r>
  <r>
    <x v="23"/>
    <x v="23"/>
    <n v="13"/>
    <n v="29"/>
    <n v="2"/>
    <m/>
  </r>
  <r>
    <x v="23"/>
    <x v="24"/>
    <n v="20"/>
    <n v="29"/>
    <n v="2"/>
    <m/>
  </r>
  <r>
    <x v="23"/>
    <x v="19"/>
    <n v="30"/>
    <n v="29"/>
    <n v="2"/>
    <m/>
  </r>
  <r>
    <x v="23"/>
    <x v="20"/>
    <n v="13"/>
    <n v="29"/>
    <n v="2"/>
    <m/>
  </r>
  <r>
    <x v="23"/>
    <x v="21"/>
    <n v="13"/>
    <n v="29"/>
    <n v="2"/>
    <m/>
  </r>
  <r>
    <x v="23"/>
    <x v="22"/>
    <n v="20"/>
    <n v="29"/>
    <n v="2"/>
    <m/>
  </r>
  <r>
    <x v="23"/>
    <x v="23"/>
    <n v="15"/>
    <n v="29"/>
    <n v="2"/>
    <m/>
  </r>
  <r>
    <x v="23"/>
    <x v="24"/>
    <n v="20"/>
    <n v="29"/>
    <n v="2"/>
    <m/>
  </r>
  <r>
    <x v="24"/>
    <x v="25"/>
    <n v="12"/>
    <n v="27"/>
    <n v="4"/>
    <m/>
  </r>
  <r>
    <x v="24"/>
    <x v="26"/>
    <n v="14"/>
    <n v="27"/>
    <n v="4"/>
    <m/>
  </r>
  <r>
    <x v="24"/>
    <x v="14"/>
    <n v="12"/>
    <n v="27"/>
    <n v="3"/>
    <m/>
  </r>
  <r>
    <x v="24"/>
    <x v="25"/>
    <n v="15"/>
    <n v="27"/>
    <n v="4"/>
    <m/>
  </r>
  <r>
    <x v="24"/>
    <x v="26"/>
    <n v="13"/>
    <n v="27"/>
    <n v="4"/>
    <m/>
  </r>
  <r>
    <x v="24"/>
    <x v="25"/>
    <n v="13"/>
    <n v="27"/>
    <n v="4"/>
    <m/>
  </r>
  <r>
    <x v="24"/>
    <x v="26"/>
    <n v="15"/>
    <n v="27"/>
    <n v="4"/>
    <m/>
  </r>
  <r>
    <x v="24"/>
    <x v="27"/>
    <n v="12"/>
    <n v="27"/>
    <n v="3"/>
    <m/>
  </r>
  <r>
    <x v="24"/>
    <x v="14"/>
    <n v="15"/>
    <n v="27"/>
    <n v="3"/>
    <m/>
  </r>
  <r>
    <x v="24"/>
    <x v="25"/>
    <n v="12"/>
    <n v="27"/>
    <n v="4"/>
    <m/>
  </r>
  <r>
    <x v="24"/>
    <x v="26"/>
    <n v="15"/>
    <n v="27"/>
    <n v="4"/>
    <m/>
  </r>
  <r>
    <x v="24"/>
    <x v="27"/>
    <n v="13"/>
    <n v="27"/>
    <n v="3"/>
    <m/>
  </r>
  <r>
    <x v="24"/>
    <x v="14"/>
    <n v="15"/>
    <n v="27"/>
    <n v="3"/>
    <m/>
  </r>
  <r>
    <x v="24"/>
    <x v="6"/>
    <n v="63"/>
    <n v="27"/>
    <n v="1"/>
    <m/>
  </r>
  <r>
    <x v="24"/>
    <x v="27"/>
    <n v="15"/>
    <n v="27"/>
    <n v="3"/>
    <m/>
  </r>
  <r>
    <x v="25"/>
    <x v="12"/>
    <n v="15"/>
    <n v="23"/>
    <n v="2"/>
    <m/>
  </r>
  <r>
    <x v="25"/>
    <x v="13"/>
    <n v="15"/>
    <n v="23"/>
    <n v="2"/>
    <m/>
  </r>
  <r>
    <x v="25"/>
    <x v="16"/>
    <n v="13"/>
    <n v="23"/>
    <n v="2"/>
    <m/>
  </r>
  <r>
    <x v="25"/>
    <x v="15"/>
    <n v="15"/>
    <n v="23"/>
    <n v="2"/>
    <m/>
  </r>
  <r>
    <x v="25"/>
    <x v="17"/>
    <n v="15"/>
    <n v="23"/>
    <n v="2"/>
    <m/>
  </r>
  <r>
    <x v="25"/>
    <x v="14"/>
    <n v="15"/>
    <n v="23"/>
    <n v="2"/>
    <m/>
  </r>
  <r>
    <x v="25"/>
    <x v="18"/>
    <n v="20"/>
    <n v="23"/>
    <n v="2"/>
    <m/>
  </r>
  <r>
    <x v="25"/>
    <x v="12"/>
    <n v="15"/>
    <n v="23"/>
    <n v="2"/>
    <m/>
  </r>
  <r>
    <x v="25"/>
    <x v="13"/>
    <n v="15"/>
    <n v="23"/>
    <n v="2"/>
    <m/>
  </r>
  <r>
    <x v="25"/>
    <x v="16"/>
    <n v="12"/>
    <n v="23"/>
    <n v="2"/>
    <m/>
  </r>
  <r>
    <x v="25"/>
    <x v="15"/>
    <n v="15"/>
    <n v="23"/>
    <n v="2"/>
    <m/>
  </r>
  <r>
    <x v="25"/>
    <x v="17"/>
    <n v="15"/>
    <n v="23"/>
    <n v="2"/>
    <m/>
  </r>
  <r>
    <x v="25"/>
    <x v="14"/>
    <n v="15"/>
    <n v="23"/>
    <n v="2"/>
    <m/>
  </r>
  <r>
    <x v="25"/>
    <x v="18"/>
    <n v="12"/>
    <n v="23"/>
    <n v="2"/>
    <m/>
  </r>
  <r>
    <x v="26"/>
    <x v="12"/>
    <n v="14"/>
    <n v="16"/>
    <n v="1"/>
    <m/>
  </r>
  <r>
    <x v="26"/>
    <x v="13"/>
    <n v="14"/>
    <n v="16"/>
    <n v="1"/>
    <m/>
  </r>
  <r>
    <x v="27"/>
    <x v="25"/>
    <n v="14"/>
    <n v="15"/>
    <n v="1"/>
    <m/>
  </r>
  <r>
    <x v="27"/>
    <x v="26"/>
    <n v="14"/>
    <n v="15"/>
    <n v="1"/>
    <m/>
  </r>
  <r>
    <x v="27"/>
    <x v="27"/>
    <n v="13"/>
    <n v="15"/>
    <n v="3"/>
    <m/>
  </r>
  <r>
    <x v="27"/>
    <x v="28"/>
    <n v="15"/>
    <n v="15"/>
    <n v="3"/>
    <m/>
  </r>
  <r>
    <x v="27"/>
    <x v="29"/>
    <n v="15"/>
    <n v="15"/>
    <n v="3"/>
    <m/>
  </r>
  <r>
    <x v="27"/>
    <x v="30"/>
    <n v="15"/>
    <n v="15"/>
    <n v="3"/>
    <m/>
  </r>
  <r>
    <x v="27"/>
    <x v="31"/>
    <n v="15"/>
    <n v="15"/>
    <n v="3"/>
    <m/>
  </r>
  <r>
    <x v="27"/>
    <x v="22"/>
    <n v="15"/>
    <n v="15"/>
    <n v="3"/>
    <m/>
  </r>
  <r>
    <x v="27"/>
    <x v="24"/>
    <n v="15"/>
    <n v="15"/>
    <n v="3"/>
    <m/>
  </r>
  <r>
    <x v="27"/>
    <x v="27"/>
    <n v="14"/>
    <n v="15"/>
    <n v="3"/>
    <m/>
  </r>
  <r>
    <x v="27"/>
    <x v="28"/>
    <n v="27"/>
    <n v="15"/>
    <n v="3"/>
    <m/>
  </r>
  <r>
    <x v="27"/>
    <x v="29"/>
    <n v="20"/>
    <n v="15"/>
    <n v="3"/>
    <m/>
  </r>
  <r>
    <x v="27"/>
    <x v="30"/>
    <n v="17"/>
    <n v="15"/>
    <n v="3"/>
    <m/>
  </r>
  <r>
    <x v="27"/>
    <x v="31"/>
    <n v="16"/>
    <n v="15"/>
    <n v="3"/>
    <m/>
  </r>
  <r>
    <x v="27"/>
    <x v="22"/>
    <n v="20"/>
    <n v="15"/>
    <n v="3"/>
    <m/>
  </r>
  <r>
    <x v="27"/>
    <x v="24"/>
    <n v="18"/>
    <n v="15"/>
    <n v="3"/>
    <m/>
  </r>
  <r>
    <x v="27"/>
    <x v="32"/>
    <n v="20"/>
    <n v="15"/>
    <n v="2"/>
    <m/>
  </r>
  <r>
    <x v="27"/>
    <x v="33"/>
    <n v="20"/>
    <n v="15"/>
    <n v="2"/>
    <m/>
  </r>
  <r>
    <x v="27"/>
    <x v="27"/>
    <n v="12"/>
    <n v="15"/>
    <n v="3"/>
    <m/>
  </r>
  <r>
    <x v="27"/>
    <x v="28"/>
    <n v="20"/>
    <n v="15"/>
    <n v="3"/>
    <m/>
  </r>
  <r>
    <x v="27"/>
    <x v="29"/>
    <n v="14"/>
    <n v="15"/>
    <n v="3"/>
    <m/>
  </r>
  <r>
    <x v="27"/>
    <x v="30"/>
    <n v="18"/>
    <n v="15"/>
    <n v="3"/>
    <m/>
  </r>
  <r>
    <x v="27"/>
    <x v="31"/>
    <n v="16"/>
    <n v="15"/>
    <n v="3"/>
    <m/>
  </r>
  <r>
    <x v="27"/>
    <x v="22"/>
    <n v="20"/>
    <n v="15"/>
    <n v="3"/>
    <m/>
  </r>
  <r>
    <x v="27"/>
    <x v="24"/>
    <n v="20"/>
    <n v="15"/>
    <n v="3"/>
    <m/>
  </r>
  <r>
    <x v="27"/>
    <x v="32"/>
    <n v="20"/>
    <n v="15"/>
    <n v="2"/>
    <m/>
  </r>
  <r>
    <x v="27"/>
    <x v="33"/>
    <n v="20"/>
    <n v="15"/>
    <n v="2"/>
    <m/>
  </r>
  <r>
    <x v="28"/>
    <x v="12"/>
    <n v="12"/>
    <n v="9"/>
    <n v="3"/>
    <m/>
  </r>
  <r>
    <x v="28"/>
    <x v="13"/>
    <n v="12"/>
    <n v="9"/>
    <n v="3"/>
    <m/>
  </r>
  <r>
    <x v="28"/>
    <x v="16"/>
    <n v="12"/>
    <n v="9"/>
    <n v="3"/>
    <m/>
  </r>
  <r>
    <x v="28"/>
    <x v="15"/>
    <n v="17"/>
    <n v="9"/>
    <n v="3"/>
    <m/>
  </r>
  <r>
    <x v="28"/>
    <x v="17"/>
    <n v="12"/>
    <n v="9"/>
    <n v="3"/>
    <m/>
  </r>
  <r>
    <x v="28"/>
    <x v="14"/>
    <n v="12"/>
    <n v="9"/>
    <n v="3"/>
    <m/>
  </r>
  <r>
    <x v="28"/>
    <x v="18"/>
    <n v="15"/>
    <n v="9"/>
    <n v="3"/>
    <m/>
  </r>
  <r>
    <x v="28"/>
    <x v="25"/>
    <n v="12"/>
    <n v="9"/>
    <n v="3"/>
    <m/>
  </r>
  <r>
    <x v="28"/>
    <x v="12"/>
    <n v="12"/>
    <n v="9"/>
    <n v="3"/>
    <m/>
  </r>
  <r>
    <x v="28"/>
    <x v="13"/>
    <n v="14"/>
    <n v="9"/>
    <n v="3"/>
    <m/>
  </r>
  <r>
    <x v="28"/>
    <x v="16"/>
    <n v="10"/>
    <n v="9"/>
    <n v="3"/>
    <m/>
  </r>
  <r>
    <x v="28"/>
    <x v="15"/>
    <n v="13"/>
    <n v="9"/>
    <n v="3"/>
    <m/>
  </r>
  <r>
    <x v="28"/>
    <x v="17"/>
    <n v="14"/>
    <n v="9"/>
    <n v="3"/>
    <m/>
  </r>
  <r>
    <x v="28"/>
    <x v="14"/>
    <n v="12"/>
    <n v="9"/>
    <n v="3"/>
    <m/>
  </r>
  <r>
    <x v="28"/>
    <x v="18"/>
    <n v="12"/>
    <n v="9"/>
    <n v="3"/>
    <m/>
  </r>
  <r>
    <x v="28"/>
    <x v="25"/>
    <n v="13"/>
    <n v="9"/>
    <n v="3"/>
    <m/>
  </r>
  <r>
    <x v="28"/>
    <x v="12"/>
    <n v="12"/>
    <n v="9"/>
    <n v="3"/>
    <m/>
  </r>
  <r>
    <x v="28"/>
    <x v="13"/>
    <n v="12"/>
    <n v="9"/>
    <n v="3"/>
    <m/>
  </r>
  <r>
    <x v="28"/>
    <x v="16"/>
    <n v="10"/>
    <n v="9"/>
    <n v="3"/>
    <m/>
  </r>
  <r>
    <x v="28"/>
    <x v="15"/>
    <n v="12"/>
    <n v="9"/>
    <n v="3"/>
    <m/>
  </r>
  <r>
    <x v="28"/>
    <x v="17"/>
    <n v="12"/>
    <n v="9"/>
    <n v="3"/>
    <m/>
  </r>
  <r>
    <x v="28"/>
    <x v="14"/>
    <n v="12"/>
    <n v="9"/>
    <n v="3"/>
    <m/>
  </r>
  <r>
    <x v="28"/>
    <x v="18"/>
    <n v="12"/>
    <n v="9"/>
    <n v="3"/>
    <m/>
  </r>
  <r>
    <x v="28"/>
    <x v="25"/>
    <n v="15"/>
    <n v="9"/>
    <n v="3"/>
    <m/>
  </r>
  <r>
    <x v="29"/>
    <x v="27"/>
    <n v="12"/>
    <n v="8"/>
    <n v="5"/>
    <m/>
  </r>
  <r>
    <x v="29"/>
    <x v="32"/>
    <n v="12"/>
    <n v="8"/>
    <n v="4"/>
    <m/>
  </r>
  <r>
    <x v="29"/>
    <x v="33"/>
    <n v="14"/>
    <n v="8"/>
    <n v="4"/>
    <m/>
  </r>
  <r>
    <x v="29"/>
    <x v="34"/>
    <n v="12"/>
    <n v="8"/>
    <n v="4"/>
    <m/>
  </r>
  <r>
    <x v="29"/>
    <x v="27"/>
    <n v="12"/>
    <n v="8"/>
    <n v="5"/>
    <m/>
  </r>
  <r>
    <x v="29"/>
    <x v="32"/>
    <n v="13"/>
    <n v="8"/>
    <n v="4"/>
    <m/>
  </r>
  <r>
    <x v="29"/>
    <x v="33"/>
    <n v="13"/>
    <n v="8"/>
    <n v="4"/>
    <m/>
  </r>
  <r>
    <x v="29"/>
    <x v="34"/>
    <n v="13"/>
    <n v="8"/>
    <n v="4"/>
    <m/>
  </r>
  <r>
    <x v="29"/>
    <x v="27"/>
    <n v="13"/>
    <n v="8"/>
    <n v="5"/>
    <m/>
  </r>
  <r>
    <x v="29"/>
    <x v="32"/>
    <n v="13"/>
    <n v="8"/>
    <n v="4"/>
    <m/>
  </r>
  <r>
    <x v="29"/>
    <x v="33"/>
    <n v="14"/>
    <n v="8"/>
    <n v="4"/>
    <m/>
  </r>
  <r>
    <x v="29"/>
    <x v="34"/>
    <n v="14"/>
    <n v="8"/>
    <n v="4"/>
    <m/>
  </r>
  <r>
    <x v="29"/>
    <x v="27"/>
    <n v="14"/>
    <n v="8"/>
    <n v="5"/>
    <m/>
  </r>
  <r>
    <x v="29"/>
    <x v="32"/>
    <n v="14"/>
    <n v="8"/>
    <n v="4"/>
    <m/>
  </r>
  <r>
    <x v="29"/>
    <x v="33"/>
    <n v="14"/>
    <n v="8"/>
    <n v="4"/>
    <m/>
  </r>
  <r>
    <x v="29"/>
    <x v="34"/>
    <n v="14"/>
    <n v="8"/>
    <n v="4"/>
    <m/>
  </r>
  <r>
    <x v="29"/>
    <x v="27"/>
    <n v="14"/>
    <n v="8"/>
    <n v="5"/>
    <m/>
  </r>
  <r>
    <x v="30"/>
    <x v="27"/>
    <n v="12"/>
    <n v="1"/>
    <n v="3"/>
    <m/>
  </r>
  <r>
    <x v="30"/>
    <x v="34"/>
    <n v="16"/>
    <n v="1"/>
    <n v="3"/>
    <m/>
  </r>
  <r>
    <x v="30"/>
    <x v="28"/>
    <n v="15"/>
    <n v="1"/>
    <n v="3"/>
    <m/>
  </r>
  <r>
    <x v="30"/>
    <x v="29"/>
    <n v="13"/>
    <n v="1"/>
    <n v="3"/>
    <m/>
  </r>
  <r>
    <x v="30"/>
    <x v="30"/>
    <n v="13"/>
    <n v="1"/>
    <n v="3"/>
    <m/>
  </r>
  <r>
    <x v="30"/>
    <x v="31"/>
    <n v="14"/>
    <n v="1"/>
    <n v="3"/>
    <m/>
  </r>
  <r>
    <x v="30"/>
    <x v="22"/>
    <n v="15"/>
    <n v="1"/>
    <n v="3"/>
    <m/>
  </r>
  <r>
    <x v="30"/>
    <x v="24"/>
    <n v="16"/>
    <n v="1"/>
    <n v="3"/>
    <m/>
  </r>
  <r>
    <x v="30"/>
    <x v="15"/>
    <n v="13"/>
    <n v="1"/>
    <n v="3"/>
    <m/>
  </r>
  <r>
    <x v="30"/>
    <x v="27"/>
    <n v="12"/>
    <n v="1"/>
    <n v="3"/>
    <m/>
  </r>
  <r>
    <x v="30"/>
    <x v="34"/>
    <n v="18"/>
    <n v="1"/>
    <n v="3"/>
    <m/>
  </r>
  <r>
    <x v="30"/>
    <x v="28"/>
    <n v="13"/>
    <n v="1"/>
    <n v="3"/>
    <m/>
  </r>
  <r>
    <x v="30"/>
    <x v="29"/>
    <n v="13"/>
    <n v="1"/>
    <n v="3"/>
    <m/>
  </r>
  <r>
    <x v="30"/>
    <x v="30"/>
    <n v="14"/>
    <n v="1"/>
    <n v="3"/>
    <m/>
  </r>
  <r>
    <x v="30"/>
    <x v="31"/>
    <n v="13"/>
    <n v="1"/>
    <n v="3"/>
    <m/>
  </r>
  <r>
    <x v="30"/>
    <x v="22"/>
    <n v="17"/>
    <n v="1"/>
    <n v="3"/>
    <m/>
  </r>
  <r>
    <x v="30"/>
    <x v="24"/>
    <n v="20"/>
    <n v="1"/>
    <n v="3"/>
    <m/>
  </r>
  <r>
    <x v="30"/>
    <x v="15"/>
    <n v="15"/>
    <n v="1"/>
    <n v="3"/>
    <m/>
  </r>
  <r>
    <x v="30"/>
    <x v="27"/>
    <n v="13"/>
    <n v="1"/>
    <n v="3"/>
    <m/>
  </r>
  <r>
    <x v="30"/>
    <x v="34"/>
    <n v="17"/>
    <n v="1"/>
    <n v="3"/>
    <m/>
  </r>
  <r>
    <x v="30"/>
    <x v="28"/>
    <n v="14"/>
    <n v="1"/>
    <n v="3"/>
    <m/>
  </r>
  <r>
    <x v="30"/>
    <x v="29"/>
    <n v="13"/>
    <n v="1"/>
    <n v="3"/>
    <m/>
  </r>
  <r>
    <x v="30"/>
    <x v="30"/>
    <n v="17"/>
    <n v="1"/>
    <n v="3"/>
    <m/>
  </r>
  <r>
    <x v="30"/>
    <x v="31"/>
    <n v="13"/>
    <n v="1"/>
    <n v="3"/>
    <m/>
  </r>
  <r>
    <x v="30"/>
    <x v="22"/>
    <n v="18"/>
    <n v="1"/>
    <n v="3"/>
    <m/>
  </r>
  <r>
    <x v="30"/>
    <x v="24"/>
    <n v="20"/>
    <n v="1"/>
    <n v="3"/>
    <m/>
  </r>
  <r>
    <x v="30"/>
    <x v="15"/>
    <n v="16"/>
    <n v="1"/>
    <n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数据透视表2" cacheId="6" applyNumberFormats="0" applyBorderFormats="0" applyFontFormats="0" applyPatternFormats="0" applyAlignmentFormats="0" applyWidthHeightFormats="1" dataCaption="值" updatedVersion="6" minRefreshableVersion="3" colGrandTotals="0" itemPrintTitles="1" createdVersion="5" indent="0" compact="0" compactData="0" multipleFieldFilters="0">
  <location ref="B133:D135" firstHeaderRow="1" firstDataRow="2" firstDataCol="2"/>
  <pivotFields count="8">
    <pivotField axis="axisCol" compact="0" numFmtId="181" outline="0" showAll="0" sortType="descending">
      <items count="52">
        <item x="49"/>
        <item m="1" x="50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compact="0" numFmtId="177" outline="0" showAll="0" defaultSubtotal="0">
      <items count="9">
        <item x="6"/>
        <item x="0"/>
        <item x="5"/>
        <item x="2"/>
        <item x="3"/>
        <item x="1"/>
        <item x="4"/>
        <item m="1" x="8"/>
        <item x="7"/>
      </items>
    </pivotField>
    <pivotField axis="axisRow" compact="0" numFmtId="177" outline="0" showAll="0">
      <items count="21">
        <item x="12"/>
        <item x="4"/>
        <item x="10"/>
        <item x="6"/>
        <item x="13"/>
        <item x="3"/>
        <item x="11"/>
        <item x="9"/>
        <item x="8"/>
        <item x="7"/>
        <item x="2"/>
        <item x="1"/>
        <item x="0"/>
        <item x="5"/>
        <item x="18"/>
        <item x="14"/>
        <item x="15"/>
        <item m="1" x="19"/>
        <item x="17"/>
        <item x="16"/>
        <item t="default"/>
      </items>
    </pivotField>
    <pivotField compact="0" numFmtId="177" outline="0" showAll="0"/>
    <pivotField dataField="1" compact="0" numFmtId="177" outline="0" showAll="0"/>
    <pivotField compact="0" numFmtId="177" outline="0" showAll="0"/>
    <pivotField compact="0" numFmtId="177" outline="0" showAll="0"/>
    <pivotField compact="0" numFmtId="177" outline="0" showAll="0"/>
  </pivotFields>
  <rowFields count="2">
    <field x="1"/>
    <field x="2"/>
  </rowFields>
  <rowItems count="1">
    <i t="grand">
      <x/>
    </i>
  </rowItems>
  <colFields count="1">
    <field x="0"/>
  </colFields>
  <dataFields count="1">
    <dataField name="求和项:时长" fld="4" baseField="0" baseItem="3" numFmtId="176"/>
  </dataFields>
  <formats count="24">
    <format dxfId="96">
      <pivotArea outline="0" collapsedLevelsAreSubtotals="1" fieldPosition="0"/>
    </format>
    <format dxfId="95">
      <pivotArea type="all" dataOnly="0" outline="0" fieldPosition="0"/>
    </format>
    <format dxfId="94">
      <pivotArea field="0" type="button" dataOnly="0" labelOnly="1" outline="0" axis="axisCol" fieldPosition="0"/>
    </format>
    <format dxfId="93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92">
      <pivotArea dataOnly="0" labelOnly="1" grandCol="1" outline="0" fieldPosition="0"/>
    </format>
    <format dxfId="91">
      <pivotArea field="0" type="button" dataOnly="0" labelOnly="1" outline="0" axis="axisCol" fieldPosition="0"/>
    </format>
    <format dxfId="90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89">
      <pivotArea dataOnly="0" labelOnly="1" grandCol="1" outline="0" fieldPosition="0"/>
    </format>
    <format dxfId="88">
      <pivotArea dataOnly="0" labelOnly="1" grandCol="1" outline="0" fieldPosition="0"/>
    </format>
    <format dxfId="87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86">
      <pivotArea dataOnly="0" labelOnly="1" grandRow="1" outline="0" fieldPosition="0"/>
    </format>
    <format dxfId="85">
      <pivotArea field="2" type="button" dataOnly="0" labelOnly="1" outline="0" axis="axisRow" fieldPosition="1"/>
    </format>
    <format dxfId="84">
      <pivotArea dataOnly="0" labelOnly="1" fieldPosition="0">
        <references count="1">
          <reference field="2" count="1">
            <x v="0"/>
          </reference>
        </references>
      </pivotArea>
    </format>
    <format dxfId="83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82">
      <pivotArea field="2" type="button" dataOnly="0" labelOnly="1" outline="0" axis="axisRow" fieldPosition="1"/>
    </format>
    <format dxfId="81">
      <pivotArea dataOnly="0" labelOnly="1" fieldPosition="0">
        <references count="1">
          <reference field="2" count="1">
            <x v="15"/>
          </reference>
        </references>
      </pivotArea>
    </format>
    <format dxfId="80">
      <pivotArea outline="0" collapsedLevelsAreSubtotals="1" fieldPosition="0">
        <references count="1">
          <reference field="0" count="1" selected="0">
            <x v="21"/>
          </reference>
        </references>
      </pivotArea>
    </format>
    <format dxfId="79">
      <pivotArea field="0" type="button" dataOnly="0" labelOnly="1" outline="0" axis="axisCol" fieldPosition="0"/>
    </format>
    <format dxfId="78">
      <pivotArea dataOnly="0" labelOnly="1" fieldPosition="0">
        <references count="1">
          <reference field="0" count="1">
            <x v="21"/>
          </reference>
        </references>
      </pivotArea>
    </format>
    <format dxfId="77">
      <pivotArea outline="0" collapsedLevelsAreSubtotals="1" fieldPosition="0">
        <references count="1">
          <reference field="0" count="1" selected="0">
            <x v="21"/>
          </reference>
        </references>
      </pivotArea>
    </format>
    <format dxfId="76">
      <pivotArea outline="0" collapsedLevelsAreSubtotals="1" fieldPosition="0">
        <references count="1">
          <reference field="0" count="1" selected="0">
            <x v="21"/>
          </reference>
        </references>
      </pivotArea>
    </format>
    <format dxfId="75">
      <pivotArea dataOnly="0" labelOnly="1" fieldPosition="0">
        <references count="1">
          <reference field="0" count="1">
            <x v="21"/>
          </reference>
        </references>
      </pivotArea>
    </format>
    <format dxfId="74">
      <pivotArea dataOnly="0" labelOnly="1" fieldPosition="0">
        <references count="1">
          <reference field="2" count="4">
            <x v="6"/>
            <x v="8"/>
            <x v="9"/>
            <x v="16"/>
          </reference>
        </references>
      </pivotArea>
    </format>
    <format dxfId="73">
      <pivotArea dataOnly="0" labelOnly="1" outline="0" fieldPosition="0">
        <references count="1">
          <reference field="1" count="0"/>
        </references>
      </pivotArea>
    </format>
  </formats>
  <pivotTableStyleInfo name="学习" showRowHeaders="1" showColHeaders="1" showRowStripes="1" showColStripes="1" showLastColumn="1"/>
  <filters count="1">
    <filter fld="0" type="thisWeek" evalOrder="-1" id="22">
      <autoFilter ref="A1">
        <filterColumn colId="0">
          <dynamicFilter type="thisWeek" val="42456" maxVal="42463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10" applyNumberFormats="0" applyBorderFormats="0" applyFontFormats="0" applyPatternFormats="0" applyAlignmentFormats="0" applyWidthHeightFormats="1" dataCaption="值" showError="1" updatedVersion="6" minRefreshableVersion="3" itemPrintTitles="1" createdVersion="5" indent="0" outline="1" outlineData="1" multipleFieldFilters="0">
  <location ref="H239:J250" firstHeaderRow="1" firstDataRow="2" firstDataCol="1"/>
  <pivotFields count="6">
    <pivotField axis="axisCol" numFmtId="22" showAll="0" sortType="descending">
      <items count="369">
        <item x="253"/>
        <item x="252"/>
        <item x="251"/>
        <item x="250"/>
        <item x="249"/>
        <item x="248"/>
        <item x="247"/>
        <item x="274"/>
        <item x="246"/>
        <item x="273"/>
        <item x="272"/>
        <item x="271"/>
        <item x="270"/>
        <item x="269"/>
        <item x="268"/>
        <item x="267"/>
        <item x="266"/>
        <item x="265"/>
        <item x="264"/>
        <item x="245"/>
        <item x="263"/>
        <item x="262"/>
        <item x="261"/>
        <item x="260"/>
        <item x="259"/>
        <item x="258"/>
        <item x="257"/>
        <item x="256"/>
        <item x="255"/>
        <item x="254"/>
        <item x="222"/>
        <item x="221"/>
        <item x="220"/>
        <item x="219"/>
        <item x="218"/>
        <item x="217"/>
        <item x="216"/>
        <item x="244"/>
        <item x="243"/>
        <item x="215"/>
        <item x="242"/>
        <item x="241"/>
        <item x="240"/>
        <item x="239"/>
        <item x="238"/>
        <item x="237"/>
        <item x="236"/>
        <item x="235"/>
        <item x="234"/>
        <item x="233"/>
        <item x="214"/>
        <item x="232"/>
        <item x="231"/>
        <item x="230"/>
        <item x="229"/>
        <item x="228"/>
        <item x="227"/>
        <item x="226"/>
        <item x="225"/>
        <item x="224"/>
        <item x="223"/>
        <item x="191"/>
        <item x="190"/>
        <item x="189"/>
        <item x="188"/>
        <item x="187"/>
        <item x="186"/>
        <item x="185"/>
        <item x="213"/>
        <item x="212"/>
        <item x="184"/>
        <item x="211"/>
        <item x="210"/>
        <item x="209"/>
        <item x="208"/>
        <item x="207"/>
        <item x="206"/>
        <item x="205"/>
        <item x="204"/>
        <item x="203"/>
        <item x="202"/>
        <item x="183"/>
        <item x="201"/>
        <item x="200"/>
        <item x="199"/>
        <item x="198"/>
        <item x="197"/>
        <item x="196"/>
        <item x="195"/>
        <item x="194"/>
        <item x="193"/>
        <item x="192"/>
        <item x="161"/>
        <item x="160"/>
        <item x="159"/>
        <item x="158"/>
        <item x="157"/>
        <item x="156"/>
        <item x="155"/>
        <item x="182"/>
        <item x="154"/>
        <item x="181"/>
        <item x="180"/>
        <item x="179"/>
        <item x="178"/>
        <item x="177"/>
        <item x="176"/>
        <item x="175"/>
        <item x="174"/>
        <item x="173"/>
        <item x="172"/>
        <item x="153"/>
        <item x="171"/>
        <item x="170"/>
        <item x="169"/>
        <item x="168"/>
        <item x="167"/>
        <item x="166"/>
        <item x="165"/>
        <item x="164"/>
        <item x="163"/>
        <item x="162"/>
        <item x="130"/>
        <item x="129"/>
        <item x="128"/>
        <item x="127"/>
        <item x="126"/>
        <item x="125"/>
        <item x="124"/>
        <item x="152"/>
        <item x="151"/>
        <item x="123"/>
        <item x="150"/>
        <item x="149"/>
        <item x="148"/>
        <item x="147"/>
        <item x="146"/>
        <item x="145"/>
        <item x="144"/>
        <item x="143"/>
        <item x="142"/>
        <item x="141"/>
        <item x="122"/>
        <item x="140"/>
        <item x="139"/>
        <item x="138"/>
        <item x="137"/>
        <item x="136"/>
        <item x="135"/>
        <item x="134"/>
        <item x="133"/>
        <item x="132"/>
        <item x="131"/>
        <item x="100"/>
        <item x="99"/>
        <item x="98"/>
        <item x="97"/>
        <item x="96"/>
        <item x="95"/>
        <item x="94"/>
        <item x="121"/>
        <item x="93"/>
        <item x="120"/>
        <item x="119"/>
        <item x="118"/>
        <item x="117"/>
        <item x="116"/>
        <item x="115"/>
        <item x="114"/>
        <item x="113"/>
        <item x="112"/>
        <item x="111"/>
        <item x="92"/>
        <item x="110"/>
        <item x="109"/>
        <item x="108"/>
        <item x="107"/>
        <item x="106"/>
        <item x="105"/>
        <item x="104"/>
        <item x="103"/>
        <item x="102"/>
        <item x="101"/>
        <item x="69"/>
        <item x="68"/>
        <item x="67"/>
        <item x="66"/>
        <item x="65"/>
        <item x="64"/>
        <item x="63"/>
        <item x="91"/>
        <item x="90"/>
        <item x="62"/>
        <item x="89"/>
        <item x="88"/>
        <item x="87"/>
        <item x="86"/>
        <item x="85"/>
        <item x="84"/>
        <item x="83"/>
        <item x="82"/>
        <item x="81"/>
        <item x="80"/>
        <item x="61"/>
        <item x="79"/>
        <item x="78"/>
        <item x="77"/>
        <item x="76"/>
        <item x="75"/>
        <item x="74"/>
        <item x="73"/>
        <item x="72"/>
        <item x="71"/>
        <item x="70"/>
        <item x="40"/>
        <item x="39"/>
        <item x="38"/>
        <item x="37"/>
        <item x="36"/>
        <item x="35"/>
        <item x="34"/>
        <item x="33"/>
        <item x="60"/>
        <item x="59"/>
        <item x="58"/>
        <item x="57"/>
        <item x="56"/>
        <item x="55"/>
        <item x="54"/>
        <item x="53"/>
        <item x="52"/>
        <item x="51"/>
        <item x="32"/>
        <item x="50"/>
        <item x="49"/>
        <item x="48"/>
        <item x="47"/>
        <item x="46"/>
        <item x="45"/>
        <item x="44"/>
        <item x="43"/>
        <item x="42"/>
        <item x="41"/>
        <item x="9"/>
        <item x="8"/>
        <item x="7"/>
        <item x="6"/>
        <item x="5"/>
        <item x="4"/>
        <item x="3"/>
        <item x="31"/>
        <item x="30"/>
        <item x="2"/>
        <item x="29"/>
        <item x="28"/>
        <item x="27"/>
        <item x="26"/>
        <item x="25"/>
        <item x="24"/>
        <item x="23"/>
        <item x="22"/>
        <item x="21"/>
        <item x="20"/>
        <item x="1"/>
        <item x="19"/>
        <item x="18"/>
        <item x="17"/>
        <item x="16"/>
        <item x="15"/>
        <item x="14"/>
        <item x="13"/>
        <item x="12"/>
        <item x="11"/>
        <item x="10"/>
        <item x="344"/>
        <item x="343"/>
        <item x="342"/>
        <item x="341"/>
        <item x="340"/>
        <item x="339"/>
        <item x="338"/>
        <item x="366"/>
        <item x="365"/>
        <item x="337"/>
        <item x="364"/>
        <item x="363"/>
        <item x="362"/>
        <item x="361"/>
        <item x="360"/>
        <item x="359"/>
        <item x="358"/>
        <item x="357"/>
        <item x="356"/>
        <item x="355"/>
        <item x="336"/>
        <item x="354"/>
        <item x="353"/>
        <item x="352"/>
        <item x="351"/>
        <item x="350"/>
        <item x="349"/>
        <item x="348"/>
        <item x="347"/>
        <item x="346"/>
        <item x="345"/>
        <item x="314"/>
        <item x="313"/>
        <item x="312"/>
        <item x="311"/>
        <item x="310"/>
        <item x="309"/>
        <item x="308"/>
        <item x="335"/>
        <item x="307"/>
        <item x="334"/>
        <item x="333"/>
        <item x="332"/>
        <item x="331"/>
        <item x="330"/>
        <item x="329"/>
        <item x="328"/>
        <item x="327"/>
        <item x="326"/>
        <item x="325"/>
        <item x="306"/>
        <item x="324"/>
        <item x="323"/>
        <item x="322"/>
        <item x="321"/>
        <item x="320"/>
        <item x="319"/>
        <item x="318"/>
        <item x="317"/>
        <item x="316"/>
        <item x="315"/>
        <item x="283"/>
        <item x="282"/>
        <item x="281"/>
        <item x="280"/>
        <item x="279"/>
        <item x="278"/>
        <item x="277"/>
        <item x="305"/>
        <item x="304"/>
        <item x="276"/>
        <item x="303"/>
        <item x="302"/>
        <item x="301"/>
        <item x="300"/>
        <item x="299"/>
        <item x="298"/>
        <item x="297"/>
        <item x="296"/>
        <item x="295"/>
        <item x="294"/>
        <item x="275"/>
        <item x="293"/>
        <item x="292"/>
        <item x="291"/>
        <item x="290"/>
        <item x="289"/>
        <item x="288"/>
        <item x="287"/>
        <item x="286"/>
        <item x="285"/>
        <item x="284"/>
        <item x="367"/>
        <item x="0"/>
        <item t="default"/>
      </items>
    </pivotField>
    <pivotField axis="axisRow" numFmtId="177" showAll="0">
      <items count="36">
        <item x="3"/>
        <item x="0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t="default"/>
      </items>
    </pivotField>
    <pivotField dataField="1" numFmtId="177" showAll="0"/>
    <pivotField numFmtId="180" showAll="0" defaultSubtotal="0"/>
    <pivotField numFmtId="183" showAll="0" defaultSubtotal="0"/>
    <pivotField numFmtId="177" showAll="0" defaultSubtotal="0"/>
  </pivotFields>
  <rowFields count="1">
    <field x="1"/>
  </rowFields>
  <rowItems count="10">
    <i>
      <x v="15"/>
    </i>
    <i>
      <x v="22"/>
    </i>
    <i>
      <x v="24"/>
    </i>
    <i>
      <x v="27"/>
    </i>
    <i>
      <x v="28"/>
    </i>
    <i>
      <x v="29"/>
    </i>
    <i>
      <x v="30"/>
    </i>
    <i>
      <x v="31"/>
    </i>
    <i>
      <x v="34"/>
    </i>
    <i t="grand">
      <x/>
    </i>
  </rowItems>
  <colFields count="1">
    <field x="0"/>
  </colFields>
  <colItems count="2">
    <i>
      <x v="195"/>
    </i>
    <i t="grand">
      <x/>
    </i>
  </colItems>
  <dataFields count="1">
    <dataField name="求和项:次数/时长" fld="2" baseField="1" baseItem="22" numFmtId="177"/>
  </dataFields>
  <formats count="5">
    <format dxfId="57">
      <pivotArea type="all" dataOnly="0" outline="0" fieldPosition="0"/>
    </format>
    <format dxfId="56">
      <pivotArea type="origin" dataOnly="0" labelOnly="1" outline="0" fieldPosition="0"/>
    </format>
    <format dxfId="55">
      <pivotArea field="1" type="button" dataOnly="0" labelOnly="1" outline="0" axis="axisRow" fieldPosition="0"/>
    </format>
    <format dxfId="54">
      <pivotArea dataOnly="0" labelOnly="1" fieldPosition="0">
        <references count="1">
          <reference field="1" count="11">
            <x v="22"/>
            <x v="24"/>
            <x v="25"/>
            <x v="26"/>
            <x v="27"/>
            <x v="28"/>
            <x v="29"/>
            <x v="30"/>
            <x v="31"/>
            <x v="32"/>
            <x v="33"/>
          </reference>
        </references>
      </pivotArea>
    </format>
    <format dxfId="53">
      <pivotArea dataOnly="0" labelOnly="1" grandRow="1" outline="0" fieldPosition="0"/>
    </format>
  </formats>
  <pivotTableStyleInfo name="PivotStyleDark5" showRowHeaders="1" showColHeaders="1" showRowStripes="1" showColStripes="0" showLastColumn="1"/>
  <filters count="1">
    <filter fld="0" type="thisWeek" evalOrder="-1" id="1">
      <autoFilter ref="A1">
        <filterColumn colId="0">
          <dynamicFilter type="thisWeek" val="42456" maxVal="42463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3" name="表3" displayName="表3" ref="A1:G37" totalsRowShown="0">
  <autoFilter ref="A1:G37"/>
  <sortState ref="A2:G36">
    <sortCondition ref="D1:D36"/>
  </sortState>
  <tableColumns count="7">
    <tableColumn id="1" name="学习分类" dataDxfId="103"/>
    <tableColumn id="2" name="编号" dataDxfId="102"/>
    <tableColumn id="3" name="学习内容" dataDxfId="101"/>
    <tableColumn id="4" name="状态" dataDxfId="100"/>
    <tableColumn id="5" name="学习时长" dataDxfId="99"/>
    <tableColumn id="6" name="预计课时" dataDxfId="98"/>
    <tableColumn id="7" name="完成百分比" dataDxfId="97" dataCellStyle="百分比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1:H115">
  <autoFilter ref="A1:H115"/>
  <tableColumns count="8">
    <tableColumn id="1" name="日期" totalsRowLabel="汇总" dataDxfId="72" totalsRowDxfId="71"/>
    <tableColumn id="8" name="分类" dataDxfId="70" totalsRowDxfId="69">
      <calculatedColumnFormula>INDEX(学习总体!A:A,MATCH(表2[[#This Row],[科目]],学习总体!C:C,0))</calculatedColumnFormula>
    </tableColumn>
    <tableColumn id="2" name="科目" totalsRowDxfId="68"/>
    <tableColumn id="3" name="距离今天" dataDxfId="67" totalsRowDxfId="66">
      <calculatedColumnFormula>TODAY()-A2</calculatedColumnFormula>
    </tableColumn>
    <tableColumn id="4" name="时长" dataDxfId="65" totalsRowDxfId="64"/>
    <tableColumn id="5" name="备注" dataDxfId="63" totalsRowDxfId="62"/>
    <tableColumn id="6" name="开始时间" dataDxfId="61" totalsRowDxfId="60"/>
    <tableColumn id="7" name="结束时间" totalsRowFunction="count" dataDxfId="59" totalsRowDxfId="58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id="1" name="表1" displayName="表1" ref="A1:F284" totalsRowShown="0">
  <autoFilter ref="A1:F284"/>
  <tableColumns count="6">
    <tableColumn id="1" name="时间" dataDxfId="52"/>
    <tableColumn id="2" name="项目"/>
    <tableColumn id="4" name="次数/时长" dataDxfId="51"/>
    <tableColumn id="3" name="距离今天" dataDxfId="50">
      <calculatedColumnFormula>TODAY()-ROUNDDOWN(A2,0)</calculatedColumnFormula>
    </tableColumn>
    <tableColumn id="5" name="本日组数" dataDxfId="49">
      <calculatedColumnFormula>COUNTIFS(A:A,表1[[#This Row],[时间]],B:B,表1[[#This Row],[项目]])</calculatedColumnFormula>
    </tableColumn>
    <tableColumn id="6" name="标准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hyperlink" Target="http://cuiqingcai.com/1052.html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www.icourse163.org/learn/nudt-9004?tid=357001" TargetMode="External"/><Relationship Id="rId1" Type="http://schemas.openxmlformats.org/officeDocument/2006/relationships/hyperlink" Target="http://www.xuetangx.com/courses/course-v1:TsinghuaX+10421075X_2015_2+2015_T2/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://vbird.dic.ksu.edu.tw/linux_basic/linux_basic.php" TargetMode="External"/><Relationship Id="rId4" Type="http://schemas.openxmlformats.org/officeDocument/2006/relationships/hyperlink" Target="http://www.icourse163.org/learn/zju-199001?tid=417003" TargetMode="External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K38"/>
  <sheetViews>
    <sheetView topLeftCell="A11" workbookViewId="0">
      <selection activeCell="F31" sqref="F31"/>
    </sheetView>
  </sheetViews>
  <sheetFormatPr defaultColWidth="19.5" defaultRowHeight="16.5" x14ac:dyDescent="0.2"/>
  <cols>
    <col min="1" max="1" width="10.125" style="26" bestFit="1" customWidth="1"/>
    <col min="2" max="2" width="17.5" style="27" bestFit="1" customWidth="1"/>
    <col min="3" max="3" width="20.375" style="28" customWidth="1"/>
    <col min="4" max="4" width="18.625" style="27" bestFit="1" customWidth="1"/>
    <col min="5" max="5" width="16.25" style="27" customWidth="1"/>
    <col min="6" max="7" width="13.125" style="27" customWidth="1"/>
    <col min="8" max="11" width="13.125" style="7" customWidth="1"/>
    <col min="12" max="16384" width="19.5" style="7"/>
  </cols>
  <sheetData>
    <row r="1" spans="1:11" x14ac:dyDescent="0.2">
      <c r="A1" s="11"/>
      <c r="B1" s="12"/>
      <c r="C1" s="13"/>
      <c r="D1" s="14"/>
      <c r="E1" s="7"/>
      <c r="F1" s="6"/>
      <c r="G1" s="6" t="s">
        <v>37</v>
      </c>
      <c r="H1" s="7" t="s">
        <v>38</v>
      </c>
    </row>
    <row r="2" spans="1:11" s="8" customFormat="1" x14ac:dyDescent="0.2">
      <c r="A2" s="15"/>
      <c r="B2" s="16"/>
      <c r="C2" s="17"/>
      <c r="D2" s="18"/>
      <c r="F2" s="8">
        <v>42306</v>
      </c>
      <c r="G2" s="8">
        <v>42364</v>
      </c>
      <c r="H2" s="8">
        <v>42408</v>
      </c>
      <c r="I2" s="8">
        <v>42468</v>
      </c>
      <c r="J2" s="8">
        <v>42546</v>
      </c>
      <c r="K2" s="8">
        <v>42728</v>
      </c>
    </row>
    <row r="3" spans="1:11" x14ac:dyDescent="0.2">
      <c r="A3" s="11"/>
      <c r="B3" s="12"/>
      <c r="C3" s="13"/>
      <c r="D3" s="14"/>
      <c r="E3" s="7"/>
      <c r="F3" s="6"/>
      <c r="G3" s="9">
        <f ca="1">G2-TODAY()</f>
        <v>-93</v>
      </c>
      <c r="H3" s="10">
        <f ca="1">H2-TODAY()</f>
        <v>-49</v>
      </c>
      <c r="I3" s="10">
        <f ca="1">I2-TODAY()</f>
        <v>11</v>
      </c>
      <c r="J3" s="10">
        <f ca="1">J2-TODAY()</f>
        <v>89</v>
      </c>
      <c r="K3" s="10">
        <f ca="1">K2-TODAY()</f>
        <v>271</v>
      </c>
    </row>
    <row r="4" spans="1:11" x14ac:dyDescent="0.2">
      <c r="A4" s="11"/>
      <c r="B4" s="12"/>
      <c r="C4" s="13"/>
      <c r="D4" s="14"/>
      <c r="E4" s="7"/>
      <c r="F4" s="7"/>
      <c r="G4" s="7"/>
    </row>
    <row r="5" spans="1:11" ht="66" x14ac:dyDescent="0.2">
      <c r="A5" s="11" t="s">
        <v>39</v>
      </c>
      <c r="B5" s="12" t="s">
        <v>50</v>
      </c>
      <c r="C5" s="19" t="s">
        <v>23</v>
      </c>
      <c r="D5" s="20" t="s">
        <v>14</v>
      </c>
      <c r="E5" s="7"/>
      <c r="F5" s="7"/>
      <c r="G5" s="7"/>
    </row>
    <row r="6" spans="1:11" x14ac:dyDescent="0.2">
      <c r="A6" s="11" t="s">
        <v>39</v>
      </c>
      <c r="B6" s="12" t="s">
        <v>60</v>
      </c>
      <c r="C6" s="13"/>
      <c r="D6" s="14"/>
      <c r="E6" s="7"/>
      <c r="F6" s="7"/>
      <c r="G6" s="7"/>
    </row>
    <row r="7" spans="1:11" x14ac:dyDescent="0.2">
      <c r="A7" s="11" t="s">
        <v>39</v>
      </c>
      <c r="B7" s="12" t="s">
        <v>61</v>
      </c>
      <c r="C7" s="13"/>
      <c r="D7" s="14"/>
      <c r="E7" s="7"/>
      <c r="F7" s="7"/>
      <c r="G7" s="7"/>
    </row>
    <row r="8" spans="1:11" x14ac:dyDescent="0.2">
      <c r="A8" s="11" t="s">
        <v>58</v>
      </c>
      <c r="B8" s="12" t="s">
        <v>51</v>
      </c>
      <c r="C8" s="13" t="s">
        <v>40</v>
      </c>
      <c r="D8" s="14"/>
      <c r="E8" s="7"/>
      <c r="F8" s="7"/>
      <c r="G8" s="7"/>
    </row>
    <row r="9" spans="1:11" x14ac:dyDescent="0.2">
      <c r="A9" s="11" t="s">
        <v>58</v>
      </c>
      <c r="B9" s="12" t="s">
        <v>52</v>
      </c>
      <c r="C9" s="13"/>
      <c r="D9" s="14"/>
      <c r="E9" s="7"/>
      <c r="F9" s="7"/>
      <c r="G9" s="7"/>
    </row>
    <row r="10" spans="1:11" x14ac:dyDescent="0.2">
      <c r="A10" s="11" t="s">
        <v>58</v>
      </c>
      <c r="B10" s="12" t="s">
        <v>53</v>
      </c>
      <c r="C10" s="12"/>
      <c r="D10" s="14"/>
      <c r="E10" s="7"/>
      <c r="F10" s="7"/>
      <c r="G10" s="7"/>
    </row>
    <row r="11" spans="1:11" ht="21" customHeight="1" x14ac:dyDescent="0.2">
      <c r="A11" s="11" t="s">
        <v>58</v>
      </c>
      <c r="B11" s="12" t="s">
        <v>55</v>
      </c>
      <c r="C11" s="19" t="s">
        <v>80</v>
      </c>
      <c r="D11" s="14"/>
      <c r="E11" s="7"/>
      <c r="F11" s="7"/>
      <c r="G11" s="7"/>
    </row>
    <row r="12" spans="1:11" ht="18.75" customHeight="1" x14ac:dyDescent="0.2">
      <c r="A12" s="11" t="s">
        <v>58</v>
      </c>
      <c r="B12" s="12" t="s">
        <v>56</v>
      </c>
      <c r="C12" s="19" t="s">
        <v>126</v>
      </c>
      <c r="D12" s="14"/>
      <c r="E12" s="7"/>
      <c r="F12" s="7"/>
      <c r="G12" s="7"/>
    </row>
    <row r="13" spans="1:11" ht="49.5" x14ac:dyDescent="0.2">
      <c r="A13" s="11" t="s">
        <v>58</v>
      </c>
      <c r="B13" s="12" t="s">
        <v>54</v>
      </c>
      <c r="C13" s="19" t="s">
        <v>127</v>
      </c>
      <c r="D13" s="14"/>
      <c r="E13" s="7"/>
      <c r="F13" s="7"/>
      <c r="G13" s="7"/>
    </row>
    <row r="14" spans="1:11" ht="33" x14ac:dyDescent="0.2">
      <c r="A14" s="11" t="s">
        <v>58</v>
      </c>
      <c r="B14" s="12" t="s">
        <v>57</v>
      </c>
      <c r="C14" s="19" t="s">
        <v>81</v>
      </c>
      <c r="D14" s="14"/>
      <c r="E14" s="7"/>
      <c r="F14" s="7"/>
      <c r="G14" s="7"/>
    </row>
    <row r="15" spans="1:11" x14ac:dyDescent="0.2">
      <c r="A15" s="11" t="s">
        <v>59</v>
      </c>
      <c r="B15" s="12" t="s">
        <v>62</v>
      </c>
      <c r="C15" s="13"/>
      <c r="D15" s="14"/>
      <c r="E15" s="7"/>
      <c r="F15" s="7"/>
      <c r="G15" s="7"/>
    </row>
    <row r="16" spans="1:11" x14ac:dyDescent="0.2">
      <c r="A16" s="11" t="s">
        <v>59</v>
      </c>
      <c r="B16" s="12" t="s">
        <v>63</v>
      </c>
      <c r="C16" s="13"/>
      <c r="D16" s="14"/>
      <c r="E16" s="7"/>
      <c r="F16" s="7"/>
      <c r="G16" s="7"/>
    </row>
    <row r="17" spans="1:7" x14ac:dyDescent="0.2">
      <c r="A17" s="11" t="s">
        <v>59</v>
      </c>
      <c r="B17" s="12" t="s">
        <v>64</v>
      </c>
      <c r="C17" s="13"/>
      <c r="D17" s="14"/>
      <c r="E17" s="7"/>
      <c r="F17" s="7"/>
      <c r="G17" s="7"/>
    </row>
    <row r="18" spans="1:7" x14ac:dyDescent="0.2">
      <c r="A18" s="11" t="s">
        <v>59</v>
      </c>
      <c r="B18" s="12" t="s">
        <v>65</v>
      </c>
      <c r="C18" s="13"/>
      <c r="D18" s="14"/>
      <c r="E18" s="7"/>
      <c r="F18" s="7"/>
      <c r="G18" s="7"/>
    </row>
    <row r="19" spans="1:7" x14ac:dyDescent="0.2">
      <c r="A19" s="11" t="s">
        <v>59</v>
      </c>
      <c r="B19" s="12" t="s">
        <v>66</v>
      </c>
      <c r="C19" s="13"/>
      <c r="D19" s="14"/>
      <c r="E19" s="7"/>
      <c r="F19" s="7"/>
      <c r="G19" s="7"/>
    </row>
    <row r="20" spans="1:7" x14ac:dyDescent="0.2">
      <c r="A20" s="22"/>
      <c r="B20" s="23"/>
      <c r="C20" s="24"/>
      <c r="D20" s="25"/>
      <c r="E20" s="7"/>
      <c r="F20" s="7"/>
      <c r="G20" s="7"/>
    </row>
    <row r="22" spans="1:7" x14ac:dyDescent="0.2">
      <c r="A22" s="26" t="s">
        <v>85</v>
      </c>
      <c r="B22" s="27" t="s">
        <v>105</v>
      </c>
      <c r="C22" s="28" t="s">
        <v>106</v>
      </c>
      <c r="D22" s="27" t="s">
        <v>107</v>
      </c>
    </row>
    <row r="23" spans="1:7" x14ac:dyDescent="0.2">
      <c r="A23" s="26" t="s">
        <v>86</v>
      </c>
      <c r="B23" s="27" t="s">
        <v>87</v>
      </c>
      <c r="C23" s="28" t="s">
        <v>90</v>
      </c>
      <c r="D23" s="27" t="s">
        <v>91</v>
      </c>
      <c r="E23" s="27" t="s">
        <v>92</v>
      </c>
    </row>
    <row r="24" spans="1:7" x14ac:dyDescent="0.2">
      <c r="B24" s="27" t="s">
        <v>88</v>
      </c>
    </row>
    <row r="25" spans="1:7" x14ac:dyDescent="0.2">
      <c r="B25" s="27" t="s">
        <v>89</v>
      </c>
    </row>
    <row r="26" spans="1:7" x14ac:dyDescent="0.2">
      <c r="B26" s="27" t="s">
        <v>93</v>
      </c>
    </row>
    <row r="29" spans="1:7" x14ac:dyDescent="0.2">
      <c r="A29" s="26" t="s">
        <v>117</v>
      </c>
    </row>
    <row r="30" spans="1:7" x14ac:dyDescent="0.2">
      <c r="A30" s="26" t="s">
        <v>118</v>
      </c>
    </row>
    <row r="31" spans="1:7" x14ac:dyDescent="0.2">
      <c r="A31" s="26" t="s">
        <v>119</v>
      </c>
    </row>
    <row r="33" spans="1:7" x14ac:dyDescent="0.2">
      <c r="A33" s="26" t="s">
        <v>120</v>
      </c>
      <c r="B33" s="27" t="s">
        <v>170</v>
      </c>
      <c r="F33" s="7"/>
      <c r="G33" s="7"/>
    </row>
    <row r="34" spans="1:7" x14ac:dyDescent="0.2">
      <c r="B34" s="27" t="s">
        <v>171</v>
      </c>
    </row>
    <row r="35" spans="1:7" x14ac:dyDescent="0.2">
      <c r="A35" s="27" t="s">
        <v>172</v>
      </c>
      <c r="B35" s="27" t="s">
        <v>173</v>
      </c>
      <c r="C35" s="7" t="s">
        <v>175</v>
      </c>
    </row>
    <row r="36" spans="1:7" x14ac:dyDescent="0.2">
      <c r="B36" s="27" t="s">
        <v>174</v>
      </c>
    </row>
    <row r="37" spans="1:7" x14ac:dyDescent="0.2">
      <c r="A37" s="26" t="s">
        <v>121</v>
      </c>
      <c r="G37" s="7"/>
    </row>
    <row r="38" spans="1:7" x14ac:dyDescent="0.2">
      <c r="A38" s="26" t="s">
        <v>122</v>
      </c>
    </row>
  </sheetData>
  <phoneticPr fontId="4" type="noConversion"/>
  <conditionalFormatting sqref="A1:D21 A22 A23:D29 A30 A31:D32 A33:A34 C33:D34 C36:D36 A36 A37:D1048576">
    <cfRule type="expression" dxfId="19" priority="1">
      <formula>$A1="graduate"</formula>
    </cfRule>
    <cfRule type="expression" dxfId="18" priority="2">
      <formula>$A1="CS"</formula>
    </cfRule>
    <cfRule type="expression" dxfId="17" priority="3">
      <formula>$A1="python"</formula>
    </cfRule>
  </conditionalFormatting>
  <conditionalFormatting sqref="B22:D22">
    <cfRule type="expression" dxfId="16" priority="13">
      <formula>$A30="graduate"</formula>
    </cfRule>
    <cfRule type="expression" dxfId="15" priority="14">
      <formula>$A30="CS"</formula>
    </cfRule>
    <cfRule type="expression" dxfId="14" priority="15">
      <formula>$A30="python"</formula>
    </cfRule>
  </conditionalFormatting>
  <conditionalFormatting sqref="D35">
    <cfRule type="expression" dxfId="13" priority="19">
      <formula>#REF!="graduate"</formula>
    </cfRule>
    <cfRule type="expression" dxfId="12" priority="20">
      <formula>#REF!="CS"</formula>
    </cfRule>
    <cfRule type="expression" dxfId="11" priority="21">
      <formula>#REF!="python"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G37"/>
  <sheetViews>
    <sheetView workbookViewId="0">
      <pane ySplit="1" topLeftCell="A2" activePane="bottomLeft" state="frozen"/>
      <selection pane="bottomLeft" activeCell="G9" sqref="G9"/>
    </sheetView>
  </sheetViews>
  <sheetFormatPr defaultColWidth="9" defaultRowHeight="16.5" x14ac:dyDescent="0.2"/>
  <cols>
    <col min="1" max="1" width="21.375" style="2" customWidth="1"/>
    <col min="2" max="2" width="0" style="3" hidden="1" customWidth="1"/>
    <col min="3" max="3" width="43.25" style="3" customWidth="1"/>
    <col min="4" max="4" width="9.5" style="60" bestFit="1" customWidth="1"/>
    <col min="5" max="5" width="10.25" style="61" customWidth="1"/>
    <col min="6" max="6" width="10.25" style="30" customWidth="1"/>
    <col min="7" max="7" width="12.125" style="29" customWidth="1"/>
    <col min="8" max="16384" width="9" style="3"/>
  </cols>
  <sheetData>
    <row r="1" spans="1:7" x14ac:dyDescent="0.2">
      <c r="A1" s="4" t="s">
        <v>4</v>
      </c>
      <c r="B1" s="3" t="s">
        <v>41</v>
      </c>
      <c r="C1" s="5" t="s">
        <v>5</v>
      </c>
      <c r="D1" s="59" t="s">
        <v>6</v>
      </c>
      <c r="E1" s="61" t="s">
        <v>33</v>
      </c>
      <c r="F1" s="30" t="s">
        <v>94</v>
      </c>
      <c r="G1" s="29" t="s">
        <v>95</v>
      </c>
    </row>
    <row r="2" spans="1:7" x14ac:dyDescent="0.2">
      <c r="A2" s="2" t="s">
        <v>35</v>
      </c>
      <c r="C2" s="3" t="s">
        <v>224</v>
      </c>
      <c r="D2" s="60">
        <v>1</v>
      </c>
      <c r="E2" s="61">
        <f>SUMIF(学习记录!C:C,C2,学习记录!E:E)</f>
        <v>0</v>
      </c>
    </row>
    <row r="3" spans="1:7" x14ac:dyDescent="0.2">
      <c r="A3" s="4" t="s">
        <v>9</v>
      </c>
      <c r="B3" s="3" t="s">
        <v>43</v>
      </c>
      <c r="C3" s="4" t="s">
        <v>10</v>
      </c>
      <c r="D3" s="60">
        <v>1</v>
      </c>
      <c r="E3" s="61">
        <f>SUMIF(学习记录!C:C,C3,学习记录!E:E)</f>
        <v>0.100694444444444</v>
      </c>
    </row>
    <row r="4" spans="1:7" x14ac:dyDescent="0.2">
      <c r="A4" s="2" t="s">
        <v>148</v>
      </c>
      <c r="C4" s="2" t="s">
        <v>150</v>
      </c>
      <c r="D4" s="60">
        <v>1</v>
      </c>
      <c r="E4" s="61">
        <f>SUMIF(学习记录!C:C,C4,学习记录!E:E)</f>
        <v>0.2673611111111111</v>
      </c>
    </row>
    <row r="5" spans="1:7" x14ac:dyDescent="0.2">
      <c r="A5" s="2" t="s">
        <v>35</v>
      </c>
      <c r="C5" s="3" t="s">
        <v>227</v>
      </c>
      <c r="D5" s="60">
        <v>1</v>
      </c>
      <c r="E5" s="61">
        <f>SUMIF(学习记录!C:C,C5,学习记录!E:E)</f>
        <v>0</v>
      </c>
    </row>
    <row r="6" spans="1:7" x14ac:dyDescent="0.2">
      <c r="A6" s="2" t="s">
        <v>180</v>
      </c>
      <c r="C6" s="3" t="s">
        <v>181</v>
      </c>
      <c r="D6" s="60">
        <v>1</v>
      </c>
      <c r="E6" s="61">
        <f>SUMIF(学习记录!C:C,C6,学习记录!E:E)</f>
        <v>0</v>
      </c>
    </row>
    <row r="7" spans="1:7" x14ac:dyDescent="0.2">
      <c r="A7" s="2" t="s">
        <v>137</v>
      </c>
      <c r="C7" s="21" t="s">
        <v>136</v>
      </c>
      <c r="D7" s="60">
        <v>1</v>
      </c>
      <c r="E7" s="61">
        <f>SUMIF(学习记录!C:C,C7,学习记录!E:E)</f>
        <v>0</v>
      </c>
    </row>
    <row r="8" spans="1:7" x14ac:dyDescent="0.2">
      <c r="A8" s="2" t="s">
        <v>228</v>
      </c>
      <c r="C8" s="21" t="s">
        <v>229</v>
      </c>
      <c r="D8" s="60">
        <v>1</v>
      </c>
      <c r="E8" s="61">
        <f>SUMIF(学习记录!C:C,C8,学习记录!E:E)</f>
        <v>0</v>
      </c>
    </row>
    <row r="9" spans="1:7" x14ac:dyDescent="0.2">
      <c r="A9" s="2" t="s">
        <v>35</v>
      </c>
      <c r="C9" s="62" t="s">
        <v>238</v>
      </c>
      <c r="D9" s="60">
        <v>1</v>
      </c>
      <c r="E9" s="61">
        <f>SUMIF(学习记录!C:C,C9,学习记录!E:E)</f>
        <v>0</v>
      </c>
      <c r="F9" s="30">
        <v>0.66666666666666663</v>
      </c>
      <c r="G9" s="29">
        <f>表3[[#This Row],[学习时长]]/表3[[#This Row],[预计课时]]</f>
        <v>0</v>
      </c>
    </row>
    <row r="10" spans="1:7" x14ac:dyDescent="0.2">
      <c r="A10" s="2" t="s">
        <v>109</v>
      </c>
      <c r="B10" s="3" t="s">
        <v>84</v>
      </c>
      <c r="C10" s="3" t="s">
        <v>83</v>
      </c>
      <c r="D10" s="60">
        <v>2</v>
      </c>
      <c r="E10" s="61">
        <f>SUMIF(学习记录!C:C,C10,学习记录!E:E)</f>
        <v>0.70486111111111138</v>
      </c>
    </row>
    <row r="11" spans="1:7" x14ac:dyDescent="0.2">
      <c r="A11" s="2" t="s">
        <v>110</v>
      </c>
      <c r="C11" s="3" t="s">
        <v>112</v>
      </c>
      <c r="D11" s="60">
        <v>2</v>
      </c>
      <c r="E11" s="61">
        <f>SUMIF(学习记录!C:C,C11,学习记录!E:E)</f>
        <v>0.69444444444444442</v>
      </c>
    </row>
    <row r="12" spans="1:7" x14ac:dyDescent="0.2">
      <c r="A12" s="2" t="s">
        <v>35</v>
      </c>
      <c r="B12" s="3" t="s">
        <v>47</v>
      </c>
      <c r="C12" s="2" t="s">
        <v>104</v>
      </c>
      <c r="D12" s="60">
        <v>2</v>
      </c>
      <c r="E12" s="61">
        <f>SUMIF(学习记录!C:C,C12,学习记录!E:E)</f>
        <v>0.25694444444444442</v>
      </c>
    </row>
    <row r="13" spans="1:7" x14ac:dyDescent="0.2">
      <c r="A13" s="2" t="s">
        <v>96</v>
      </c>
      <c r="B13" s="3" t="s">
        <v>74</v>
      </c>
      <c r="C13" s="3" t="s">
        <v>12</v>
      </c>
      <c r="D13" s="60">
        <v>2</v>
      </c>
      <c r="E13" s="61">
        <f>SUMIF(学习记录!C:C,C13,学习记录!E:E)</f>
        <v>0.17708333333333331</v>
      </c>
      <c r="F13" s="30">
        <v>1</v>
      </c>
      <c r="G13" s="29">
        <f>E13/F13</f>
        <v>0.17708333333333331</v>
      </c>
    </row>
    <row r="14" spans="1:7" x14ac:dyDescent="0.2">
      <c r="A14" s="2" t="s">
        <v>97</v>
      </c>
      <c r="B14" s="3" t="s">
        <v>67</v>
      </c>
      <c r="C14" s="3" t="s">
        <v>99</v>
      </c>
      <c r="D14" s="60">
        <v>2</v>
      </c>
      <c r="E14" s="61">
        <f>SUMIF(学习记录!C:C,C14,学习记录!E:E)</f>
        <v>0.13333333333333339</v>
      </c>
    </row>
    <row r="15" spans="1:7" x14ac:dyDescent="0.2">
      <c r="A15" s="2" t="s">
        <v>96</v>
      </c>
      <c r="B15" s="3" t="s">
        <v>75</v>
      </c>
      <c r="C15" s="3" t="s">
        <v>32</v>
      </c>
      <c r="D15" s="60">
        <v>2</v>
      </c>
      <c r="E15" s="61">
        <f>SUMIF(学习记录!C:C,C15,学习记录!E:E)</f>
        <v>0.12847222222222224</v>
      </c>
      <c r="F15" s="30">
        <v>1.25</v>
      </c>
      <c r="G15" s="29">
        <f>E15/F15</f>
        <v>0.10277777777777779</v>
      </c>
    </row>
    <row r="16" spans="1:7" x14ac:dyDescent="0.2">
      <c r="A16" s="2" t="s">
        <v>97</v>
      </c>
      <c r="C16" s="52" t="s">
        <v>102</v>
      </c>
      <c r="D16" s="60">
        <v>2</v>
      </c>
      <c r="E16" s="61">
        <f>SUMIF(学习记录!C:C,C16,学习记录!E:E)</f>
        <v>0.12499999999999999</v>
      </c>
    </row>
    <row r="17" spans="1:5" x14ac:dyDescent="0.2">
      <c r="A17" s="2" t="s">
        <v>164</v>
      </c>
      <c r="C17" s="21" t="s">
        <v>166</v>
      </c>
      <c r="D17" s="60">
        <v>2</v>
      </c>
      <c r="E17" s="61">
        <f>SUMIF(学习记录!C:C,C17,学习记录!E:E)</f>
        <v>0.20833333333333334</v>
      </c>
    </row>
    <row r="18" spans="1:5" x14ac:dyDescent="0.2">
      <c r="A18" s="2" t="s">
        <v>35</v>
      </c>
      <c r="B18" s="3" t="s">
        <v>48</v>
      </c>
      <c r="C18" s="2" t="s">
        <v>22</v>
      </c>
      <c r="D18" s="60">
        <v>2</v>
      </c>
      <c r="E18" s="61">
        <f>SUMIF(学习记录!C:C,C18,学习记录!E:E)</f>
        <v>4.1666666666666664E-2</v>
      </c>
    </row>
    <row r="19" spans="1:5" x14ac:dyDescent="0.2">
      <c r="A19" s="2" t="s">
        <v>35</v>
      </c>
      <c r="B19" s="3" t="s">
        <v>45</v>
      </c>
      <c r="C19" s="3" t="s">
        <v>36</v>
      </c>
      <c r="D19" s="60">
        <v>2</v>
      </c>
      <c r="E19" s="61">
        <f>SUMIF(学习记录!C:C,C19,学习记录!E:E)</f>
        <v>3.6805555555555536E-2</v>
      </c>
    </row>
    <row r="20" spans="1:5" x14ac:dyDescent="0.2">
      <c r="A20" s="2" t="s">
        <v>9</v>
      </c>
      <c r="B20" s="3" t="s">
        <v>44</v>
      </c>
      <c r="C20" s="2" t="s">
        <v>23</v>
      </c>
      <c r="D20" s="60">
        <v>2</v>
      </c>
      <c r="E20" s="61">
        <f>SUMIF(学习记录!C:C,C20,学习记录!E:E)</f>
        <v>2.0833333333333332E-2</v>
      </c>
    </row>
    <row r="21" spans="1:5" x14ac:dyDescent="0.2">
      <c r="A21" s="2" t="s">
        <v>97</v>
      </c>
      <c r="C21" s="21" t="s">
        <v>101</v>
      </c>
      <c r="D21" s="60">
        <v>2</v>
      </c>
      <c r="E21" s="61">
        <f>SUMIF(学习记录!C:C,C21,学习记录!E:E)</f>
        <v>0</v>
      </c>
    </row>
    <row r="22" spans="1:5" x14ac:dyDescent="0.2">
      <c r="A22" s="2" t="s">
        <v>97</v>
      </c>
      <c r="C22" s="3" t="s">
        <v>100</v>
      </c>
      <c r="D22" s="60">
        <v>2</v>
      </c>
      <c r="E22" s="61">
        <f>SUMIF(学习记录!C:C,C22,学习记录!E:E)</f>
        <v>0</v>
      </c>
    </row>
    <row r="23" spans="1:5" x14ac:dyDescent="0.2">
      <c r="A23" s="2" t="s">
        <v>35</v>
      </c>
      <c r="B23" s="3" t="s">
        <v>46</v>
      </c>
      <c r="C23" s="2" t="s">
        <v>13</v>
      </c>
      <c r="D23" s="60">
        <v>2</v>
      </c>
      <c r="E23" s="61">
        <f>SUMIF(学习记录!C:C,C23,学习记录!E:E)</f>
        <v>0</v>
      </c>
    </row>
    <row r="24" spans="1:5" x14ac:dyDescent="0.2">
      <c r="A24" s="2" t="s">
        <v>11</v>
      </c>
      <c r="B24" s="3" t="s">
        <v>68</v>
      </c>
      <c r="C24" s="3" t="s">
        <v>24</v>
      </c>
      <c r="D24" s="60">
        <v>2</v>
      </c>
      <c r="E24" s="61">
        <f>SUMIF(学习记录!C:C,C24,学习记录!E:E)</f>
        <v>0</v>
      </c>
    </row>
    <row r="25" spans="1:5" x14ac:dyDescent="0.2">
      <c r="A25" s="2" t="s">
        <v>15</v>
      </c>
      <c r="B25" s="3" t="s">
        <v>70</v>
      </c>
      <c r="C25" s="2" t="s">
        <v>15</v>
      </c>
      <c r="D25" s="60">
        <v>2</v>
      </c>
      <c r="E25" s="61">
        <f>SUMIF(学习记录!C:C,C25,学习记录!E:E)</f>
        <v>0</v>
      </c>
    </row>
    <row r="26" spans="1:5" x14ac:dyDescent="0.2">
      <c r="A26" s="2" t="s">
        <v>15</v>
      </c>
      <c r="B26" s="3" t="s">
        <v>71</v>
      </c>
      <c r="C26" s="3" t="s">
        <v>25</v>
      </c>
      <c r="D26" s="60">
        <v>2</v>
      </c>
      <c r="E26" s="61">
        <f>SUMIF(学习记录!C:C,C26,学习记录!E:E)</f>
        <v>0</v>
      </c>
    </row>
    <row r="27" spans="1:5" x14ac:dyDescent="0.2">
      <c r="A27" s="2" t="s">
        <v>15</v>
      </c>
      <c r="B27" s="3" t="s">
        <v>72</v>
      </c>
      <c r="C27" s="3" t="s">
        <v>26</v>
      </c>
      <c r="D27" s="60">
        <v>2</v>
      </c>
      <c r="E27" s="61">
        <f>SUMIF(学习记录!C:C,C27,学习记录!E:E)</f>
        <v>0</v>
      </c>
    </row>
    <row r="28" spans="1:5" x14ac:dyDescent="0.2">
      <c r="A28" s="2" t="s">
        <v>16</v>
      </c>
      <c r="B28" s="3" t="s">
        <v>76</v>
      </c>
      <c r="C28" s="3" t="s">
        <v>17</v>
      </c>
      <c r="D28" s="60">
        <v>2</v>
      </c>
      <c r="E28" s="61">
        <f>SUMIF(学习记录!C:C,C28,学习记录!E:E)</f>
        <v>0</v>
      </c>
    </row>
    <row r="29" spans="1:5" x14ac:dyDescent="0.2">
      <c r="A29" s="2" t="s">
        <v>16</v>
      </c>
      <c r="B29" s="3" t="s">
        <v>77</v>
      </c>
      <c r="C29" s="3" t="s">
        <v>18</v>
      </c>
      <c r="D29" s="60">
        <v>2</v>
      </c>
      <c r="E29" s="61">
        <f>SUMIF(学习记录!C:C,C29,学习记录!E:E)</f>
        <v>0</v>
      </c>
    </row>
    <row r="30" spans="1:5" x14ac:dyDescent="0.2">
      <c r="A30" s="2" t="s">
        <v>9</v>
      </c>
      <c r="B30" s="3" t="s">
        <v>49</v>
      </c>
      <c r="C30" s="2" t="s">
        <v>19</v>
      </c>
      <c r="D30" s="60">
        <v>3</v>
      </c>
      <c r="E30" s="61">
        <f>SUMIF(学习记录!C:C,C30,学习记录!E:E)</f>
        <v>0</v>
      </c>
    </row>
    <row r="31" spans="1:5" x14ac:dyDescent="0.2">
      <c r="A31" s="2" t="s">
        <v>15</v>
      </c>
      <c r="B31" s="3" t="s">
        <v>73</v>
      </c>
      <c r="C31" s="3" t="s">
        <v>27</v>
      </c>
      <c r="D31" s="60">
        <v>3</v>
      </c>
      <c r="E31" s="61">
        <f>SUMIF(学习记录!C:C,C31,学习记录!E:E)</f>
        <v>0</v>
      </c>
    </row>
    <row r="32" spans="1:5" x14ac:dyDescent="0.2">
      <c r="A32" s="2" t="s">
        <v>16</v>
      </c>
      <c r="B32" s="3" t="s">
        <v>78</v>
      </c>
      <c r="C32" s="3" t="s">
        <v>28</v>
      </c>
      <c r="D32" s="60">
        <v>3</v>
      </c>
      <c r="E32" s="61">
        <f>SUMIF(学习记录!C:C,C32,学习记录!E:E)</f>
        <v>0</v>
      </c>
    </row>
    <row r="33" spans="1:7" x14ac:dyDescent="0.2">
      <c r="A33" s="4" t="s">
        <v>20</v>
      </c>
      <c r="B33" s="3" t="s">
        <v>69</v>
      </c>
      <c r="C33" s="5" t="s">
        <v>21</v>
      </c>
      <c r="D33" s="60">
        <v>5</v>
      </c>
      <c r="E33" s="61">
        <f>SUMIF(学习记录!C:C,C33,学习记录!E:E)</f>
        <v>1.4583333333332948E-2</v>
      </c>
    </row>
    <row r="34" spans="1:7" x14ac:dyDescent="0.2">
      <c r="A34" s="2" t="s">
        <v>159</v>
      </c>
      <c r="C34" s="2" t="s">
        <v>226</v>
      </c>
      <c r="D34" s="60">
        <v>90</v>
      </c>
      <c r="E34" s="61">
        <f>SUMIF(学习记录!C:C,C34,学习记录!E:E)</f>
        <v>0.47916666666666669</v>
      </c>
    </row>
    <row r="35" spans="1:7" x14ac:dyDescent="0.2">
      <c r="A35" s="2" t="s">
        <v>35</v>
      </c>
      <c r="C35" s="2" t="s">
        <v>145</v>
      </c>
      <c r="D35" s="60">
        <v>99</v>
      </c>
      <c r="E35" s="61">
        <f>SUMIF(学习记录!C:C,C35,学习记录!E:E)</f>
        <v>0.41666666666666669</v>
      </c>
    </row>
    <row r="36" spans="1:7" x14ac:dyDescent="0.2">
      <c r="A36" s="2" t="s">
        <v>7</v>
      </c>
      <c r="B36" s="3" t="s">
        <v>42</v>
      </c>
      <c r="C36" s="3" t="s">
        <v>115</v>
      </c>
      <c r="D36" s="60">
        <v>100</v>
      </c>
      <c r="E36" s="61">
        <f>SUMIF(学习记录!C:C,C36,学习记录!E:E)</f>
        <v>0.4965277777777779</v>
      </c>
      <c r="F36" s="30">
        <v>0.49652777777777773</v>
      </c>
      <c r="G36" s="29">
        <f>E36/F36</f>
        <v>1.0000000000000004</v>
      </c>
    </row>
    <row r="37" spans="1:7" x14ac:dyDescent="0.2">
      <c r="A37" s="2" t="s">
        <v>123</v>
      </c>
      <c r="C37" s="3" t="s">
        <v>125</v>
      </c>
      <c r="D37" s="59">
        <v>100</v>
      </c>
      <c r="E37" s="61">
        <f>SUMIF(学习记录!C:C,C37,学习记录!E:E)</f>
        <v>0.375</v>
      </c>
      <c r="F37" s="30">
        <v>0.58333333333333337</v>
      </c>
      <c r="G37" s="29">
        <f>E37/F37</f>
        <v>0.64285714285714279</v>
      </c>
    </row>
  </sheetData>
  <sortState ref="A2:G35">
    <sortCondition ref="D2:D35"/>
    <sortCondition descending="1" ref="E2:E35"/>
  </sortState>
  <phoneticPr fontId="4" type="noConversion"/>
  <conditionalFormatting sqref="A1:F1048576">
    <cfRule type="expression" dxfId="10" priority="6">
      <formula>$D1=1</formula>
    </cfRule>
  </conditionalFormatting>
  <conditionalFormatting sqref="A1:G1048576">
    <cfRule type="expression" dxfId="9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21" r:id="rId1"/>
    <hyperlink ref="C16" r:id="rId2" location="/learn/announce"/>
    <hyperlink ref="C17" r:id="rId3"/>
    <hyperlink ref="C7" r:id="rId4" location="/learn/content"/>
    <hyperlink ref="C8" r:id="rId5"/>
  </hyperlinks>
  <pageMargins left="0.69930555555555596" right="0.69930555555555596" top="0.75" bottom="0.75" header="0.3" footer="0.3"/>
  <pageSetup paperSize="9" orientation="portrait" r:id="rId6"/>
  <legacyDrawing r:id="rId7"/>
  <tableParts count="1">
    <tablePart r:id="rId8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AD212"/>
  <sheetViews>
    <sheetView workbookViewId="0">
      <pane ySplit="1" topLeftCell="A102" activePane="bottomLeft" state="frozen"/>
      <selection pane="bottomLeft" activeCell="C102" sqref="C102:C107"/>
    </sheetView>
  </sheetViews>
  <sheetFormatPr defaultColWidth="9" defaultRowHeight="14.25" x14ac:dyDescent="0.2"/>
  <cols>
    <col min="1" max="1" width="6.5" style="49" bestFit="1" customWidth="1"/>
    <col min="2" max="2" width="12.125" style="35" customWidth="1"/>
    <col min="3" max="3" width="24.75" customWidth="1"/>
    <col min="4" max="4" width="11.875" style="32" customWidth="1"/>
    <col min="5" max="5" width="11.875" style="31" customWidth="1"/>
    <col min="6" max="6" width="10.875" style="37" customWidth="1"/>
    <col min="7" max="7" width="10.25" style="1" bestFit="1" customWidth="1"/>
    <col min="8" max="8" width="10.25" style="1" customWidth="1"/>
    <col min="9" max="9" width="19.875" style="43" customWidth="1"/>
    <col min="10" max="10" width="13.25" style="31" bestFit="1" customWidth="1"/>
    <col min="11" max="11" width="14.125" style="32" customWidth="1"/>
    <col min="12" max="12" width="13.25" bestFit="1" customWidth="1"/>
    <col min="13" max="13" width="6.25" bestFit="1" customWidth="1"/>
    <col min="14" max="14" width="9.625" bestFit="1" customWidth="1"/>
    <col min="15" max="15" width="32.25" bestFit="1" customWidth="1"/>
    <col min="16" max="16" width="22" bestFit="1" customWidth="1"/>
    <col min="17" max="17" width="31.5" bestFit="1" customWidth="1"/>
    <col min="18" max="18" width="19.75" bestFit="1" customWidth="1"/>
    <col min="19" max="19" width="17.625" bestFit="1" customWidth="1"/>
    <col min="20" max="20" width="60.25" bestFit="1" customWidth="1"/>
    <col min="21" max="21" width="30.875" bestFit="1" customWidth="1"/>
    <col min="22" max="22" width="13.75" bestFit="1" customWidth="1"/>
    <col min="23" max="23" width="27" bestFit="1" customWidth="1"/>
    <col min="24" max="24" width="8" customWidth="1"/>
    <col min="25" max="25" width="10.75" customWidth="1"/>
  </cols>
  <sheetData>
    <row r="1" spans="1:8" x14ac:dyDescent="0.2">
      <c r="A1" s="49" t="s">
        <v>29</v>
      </c>
      <c r="B1" s="35" t="s">
        <v>158</v>
      </c>
      <c r="C1" t="s">
        <v>30</v>
      </c>
      <c r="D1" s="32" t="s">
        <v>0</v>
      </c>
      <c r="E1" s="33" t="s">
        <v>3</v>
      </c>
      <c r="F1" s="41" t="s">
        <v>146</v>
      </c>
      <c r="G1" s="1" t="s">
        <v>1</v>
      </c>
      <c r="H1" s="1" t="s">
        <v>2</v>
      </c>
    </row>
    <row r="2" spans="1:8" x14ac:dyDescent="0.2">
      <c r="A2" s="49">
        <v>42300</v>
      </c>
      <c r="B2" s="35" t="str">
        <f>INDEX(学习总体!A:A,MATCH(表2[[#This Row],[科目]],学习总体!C:C,0))</f>
        <v>Excel</v>
      </c>
      <c r="C2" t="s">
        <v>8</v>
      </c>
      <c r="D2" s="51">
        <f t="shared" ref="D2:D50" ca="1" si="0">TODAY()-A2</f>
        <v>157</v>
      </c>
      <c r="E2" s="31">
        <v>4.1666666666666699E-2</v>
      </c>
    </row>
    <row r="3" spans="1:8" x14ac:dyDescent="0.2">
      <c r="A3" s="49">
        <v>42300</v>
      </c>
      <c r="B3" s="35" t="str">
        <f>INDEX(学习总体!A:A,MATCH(表2[[#This Row],[科目]],学习总体!C:C,0))</f>
        <v>经济学-微观-初级</v>
      </c>
      <c r="C3" t="s">
        <v>12</v>
      </c>
      <c r="D3" s="51">
        <f t="shared" ca="1" si="0"/>
        <v>157</v>
      </c>
      <c r="E3" s="31">
        <v>6.25E-2</v>
      </c>
    </row>
    <row r="4" spans="1:8" x14ac:dyDescent="0.2">
      <c r="A4" s="49">
        <v>42301</v>
      </c>
      <c r="B4" s="35" t="str">
        <f>INDEX(学习总体!A:A,MATCH(表2[[#This Row],[科目]],学习总体!C:C,0))</f>
        <v>Python</v>
      </c>
      <c r="C4" t="s">
        <v>31</v>
      </c>
      <c r="D4" s="51">
        <f t="shared" ca="1" si="0"/>
        <v>156</v>
      </c>
      <c r="E4" s="31">
        <f>H4-G4</f>
        <v>0.100694444444444</v>
      </c>
      <c r="G4" s="1">
        <v>0</v>
      </c>
      <c r="H4" s="1">
        <v>0.100694444444444</v>
      </c>
    </row>
    <row r="5" spans="1:8" x14ac:dyDescent="0.2">
      <c r="A5" s="49">
        <v>42302</v>
      </c>
      <c r="B5" s="35" t="str">
        <f>INDEX(学习总体!A:A,MATCH(表2[[#This Row],[科目]],学习总体!C:C,0))</f>
        <v>VB.NET</v>
      </c>
      <c r="C5" t="s">
        <v>21</v>
      </c>
      <c r="D5" s="51">
        <f t="shared" ca="1" si="0"/>
        <v>155</v>
      </c>
      <c r="E5" s="31">
        <f>H5-G5</f>
        <v>1.4583333333332948E-2</v>
      </c>
      <c r="G5" s="1">
        <v>0.53125</v>
      </c>
      <c r="H5" s="1">
        <v>0.54583333333333295</v>
      </c>
    </row>
    <row r="6" spans="1:8" x14ac:dyDescent="0.2">
      <c r="A6" s="49">
        <v>42303</v>
      </c>
      <c r="B6" s="35" t="str">
        <f>INDEX(学习总体!A:A,MATCH(表2[[#This Row],[科目]],学习总体!C:C,0))</f>
        <v>Excel</v>
      </c>
      <c r="C6" t="s">
        <v>8</v>
      </c>
      <c r="D6" s="51">
        <f t="shared" ca="1" si="0"/>
        <v>154</v>
      </c>
      <c r="E6" s="31">
        <v>4.1666666666666699E-2</v>
      </c>
    </row>
    <row r="7" spans="1:8" x14ac:dyDescent="0.2">
      <c r="A7" s="49">
        <v>42303</v>
      </c>
      <c r="B7" s="35" t="str">
        <f>INDEX(学习总体!A:A,MATCH(表2[[#This Row],[科目]],学习总体!C:C,0))</f>
        <v>经济学-微观-初级</v>
      </c>
      <c r="C7" t="s">
        <v>12</v>
      </c>
      <c r="D7" s="51">
        <f t="shared" ca="1" si="0"/>
        <v>154</v>
      </c>
      <c r="E7" s="31">
        <v>4.1666666666666664E-2</v>
      </c>
    </row>
    <row r="8" spans="1:8" x14ac:dyDescent="0.2">
      <c r="A8" s="49">
        <v>42304</v>
      </c>
      <c r="B8" s="35" t="str">
        <f>INDEX(学习总体!A:A,MATCH(表2[[#This Row],[科目]],学习总体!C:C,0))</f>
        <v>Excel</v>
      </c>
      <c r="C8" t="s">
        <v>8</v>
      </c>
      <c r="D8" s="51">
        <f t="shared" ca="1" si="0"/>
        <v>153</v>
      </c>
      <c r="E8" s="31">
        <v>6.25E-2</v>
      </c>
    </row>
    <row r="9" spans="1:8" x14ac:dyDescent="0.2">
      <c r="A9" s="49">
        <v>42304</v>
      </c>
      <c r="B9" s="35" t="str">
        <f>INDEX(学习总体!A:A,MATCH(表2[[#This Row],[科目]],学习总体!C:C,0))</f>
        <v>Python</v>
      </c>
      <c r="C9" t="s">
        <v>23</v>
      </c>
      <c r="D9" s="51">
        <f t="shared" ca="1" si="0"/>
        <v>153</v>
      </c>
      <c r="E9" s="31">
        <v>2.0833333333333332E-2</v>
      </c>
    </row>
    <row r="10" spans="1:8" x14ac:dyDescent="0.2">
      <c r="A10" s="49">
        <v>42305</v>
      </c>
      <c r="B10" s="35" t="str">
        <f>INDEX(学习总体!A:A,MATCH(表2[[#This Row],[科目]],学习总体!C:C,0))</f>
        <v>Excel</v>
      </c>
      <c r="C10" t="s">
        <v>8</v>
      </c>
      <c r="D10" s="51">
        <f t="shared" ca="1" si="0"/>
        <v>152</v>
      </c>
      <c r="E10" s="31">
        <v>3.125E-2</v>
      </c>
    </row>
    <row r="11" spans="1:8" x14ac:dyDescent="0.2">
      <c r="A11" s="49">
        <v>42305</v>
      </c>
      <c r="B11" s="35" t="str">
        <f>INDEX(学习总体!A:A,MATCH(表2[[#This Row],[科目]],学习总体!C:C,0))</f>
        <v>经济学-微观-初级</v>
      </c>
      <c r="C11" t="s">
        <v>34</v>
      </c>
      <c r="D11" s="51">
        <f t="shared" ca="1" si="0"/>
        <v>152</v>
      </c>
      <c r="E11" s="31">
        <v>4.5138888888888888E-2</v>
      </c>
    </row>
    <row r="12" spans="1:8" x14ac:dyDescent="0.2">
      <c r="A12" s="49">
        <v>42306</v>
      </c>
      <c r="B12" s="35" t="str">
        <f>INDEX(学习总体!A:A,MATCH(表2[[#This Row],[科目]],学习总体!C:C,0))</f>
        <v>Excel</v>
      </c>
      <c r="C12" t="s">
        <v>8</v>
      </c>
      <c r="D12" s="51">
        <f t="shared" ca="1" si="0"/>
        <v>151</v>
      </c>
      <c r="E12" s="31">
        <v>4.1666666666666664E-2</v>
      </c>
    </row>
    <row r="13" spans="1:8" x14ac:dyDescent="0.2">
      <c r="A13" s="49">
        <v>42307</v>
      </c>
      <c r="B13" s="35" t="str">
        <f>INDEX(学习总体!A:A,MATCH(表2[[#This Row],[科目]],学习总体!C:C,0))</f>
        <v>Excel</v>
      </c>
      <c r="C13" t="s">
        <v>8</v>
      </c>
      <c r="D13" s="51">
        <f t="shared" ca="1" si="0"/>
        <v>150</v>
      </c>
      <c r="E13" s="31">
        <v>4.1666666666666664E-2</v>
      </c>
    </row>
    <row r="14" spans="1:8" x14ac:dyDescent="0.2">
      <c r="A14" s="49">
        <v>42308</v>
      </c>
      <c r="B14" s="35" t="str">
        <f>INDEX(学习总体!A:A,MATCH(表2[[#This Row],[科目]],学习总体!C:C,0))</f>
        <v>Python</v>
      </c>
      <c r="C14" t="s">
        <v>79</v>
      </c>
      <c r="D14" s="51">
        <f t="shared" ca="1" si="0"/>
        <v>149</v>
      </c>
      <c r="E14" s="31">
        <f>H14-G14</f>
        <v>3.6805555555555536E-2</v>
      </c>
      <c r="G14" s="1">
        <v>0.60902777777777783</v>
      </c>
      <c r="H14" s="1">
        <v>0.64583333333333337</v>
      </c>
    </row>
    <row r="15" spans="1:8" x14ac:dyDescent="0.2">
      <c r="A15" s="49">
        <v>42310</v>
      </c>
      <c r="B15" s="35" t="str">
        <f>INDEX(学习总体!A:A,MATCH(表2[[#This Row],[科目]],学习总体!C:C,0))</f>
        <v>字帖-英语</v>
      </c>
      <c r="C15" t="s">
        <v>82</v>
      </c>
      <c r="D15" s="51">
        <f t="shared" ca="1" si="0"/>
        <v>147</v>
      </c>
      <c r="E15" s="31">
        <v>3.125E-2</v>
      </c>
    </row>
    <row r="16" spans="1:8" x14ac:dyDescent="0.2">
      <c r="A16" s="49">
        <v>42311</v>
      </c>
      <c r="B16" s="35" t="str">
        <f>INDEX(学习总体!A:A,MATCH(表2[[#This Row],[科目]],学习总体!C:C,0))</f>
        <v>Excel</v>
      </c>
      <c r="C16" t="s">
        <v>8</v>
      </c>
      <c r="D16" s="51">
        <f t="shared" ca="1" si="0"/>
        <v>146</v>
      </c>
      <c r="E16" s="31">
        <v>4.1666666666666664E-2</v>
      </c>
    </row>
    <row r="17" spans="1:8" x14ac:dyDescent="0.2">
      <c r="A17" s="49">
        <v>42311</v>
      </c>
      <c r="B17" s="35" t="str">
        <f>INDEX(学习总体!A:A,MATCH(表2[[#This Row],[科目]],学习总体!C:C,0))</f>
        <v>字帖-英语</v>
      </c>
      <c r="C17" t="s">
        <v>82</v>
      </c>
      <c r="D17" s="51">
        <f t="shared" ca="1" si="0"/>
        <v>146</v>
      </c>
      <c r="E17" s="31">
        <v>2.0833333333333332E-2</v>
      </c>
    </row>
    <row r="18" spans="1:8" x14ac:dyDescent="0.2">
      <c r="A18" s="49">
        <v>42312</v>
      </c>
      <c r="B18" s="35" t="str">
        <f>INDEX(学习总体!A:A,MATCH(表2[[#This Row],[科目]],学习总体!C:C,0))</f>
        <v>Excel</v>
      </c>
      <c r="C18" t="s">
        <v>8</v>
      </c>
      <c r="D18" s="51">
        <f t="shared" ca="1" si="0"/>
        <v>145</v>
      </c>
      <c r="E18" s="31">
        <v>4.1666666666666664E-2</v>
      </c>
    </row>
    <row r="19" spans="1:8" x14ac:dyDescent="0.2">
      <c r="A19" s="49">
        <v>42312</v>
      </c>
      <c r="B19" s="35" t="str">
        <f>INDEX(学习总体!A:A,MATCH(表2[[#This Row],[科目]],学习总体!C:C,0))</f>
        <v>字帖-英语</v>
      </c>
      <c r="C19" t="s">
        <v>82</v>
      </c>
      <c r="D19" s="51">
        <f t="shared" ca="1" si="0"/>
        <v>145</v>
      </c>
      <c r="E19" s="31">
        <v>2.0833333333333332E-2</v>
      </c>
    </row>
    <row r="20" spans="1:8" x14ac:dyDescent="0.2">
      <c r="A20" s="49">
        <v>42312</v>
      </c>
      <c r="B20" s="35" t="str">
        <f>INDEX(学习总体!A:A,MATCH(表2[[#This Row],[科目]],学习总体!C:C,0))</f>
        <v>经济学-微观-初级</v>
      </c>
      <c r="C20" t="s">
        <v>12</v>
      </c>
      <c r="D20" s="51">
        <f t="shared" ca="1" si="0"/>
        <v>145</v>
      </c>
      <c r="E20" s="31">
        <v>4.1666666666666664E-2</v>
      </c>
    </row>
    <row r="21" spans="1:8" x14ac:dyDescent="0.2">
      <c r="A21" s="49">
        <v>42312</v>
      </c>
      <c r="B21" s="35" t="str">
        <f>INDEX(学习总体!A:A,MATCH(表2[[#This Row],[科目]],学习总体!C:C,0))</f>
        <v>经济学-微观-初级</v>
      </c>
      <c r="C21" t="s">
        <v>34</v>
      </c>
      <c r="D21" s="51">
        <f t="shared" ca="1" si="0"/>
        <v>145</v>
      </c>
      <c r="E21" s="31">
        <v>6.25E-2</v>
      </c>
    </row>
    <row r="22" spans="1:8" x14ac:dyDescent="0.2">
      <c r="A22" s="49">
        <v>42312</v>
      </c>
      <c r="B22" s="35" t="str">
        <f>INDEX(学习总体!A:A,MATCH(表2[[#This Row],[科目]],学习总体!C:C,0))</f>
        <v>math-advanced math</v>
      </c>
      <c r="C22" t="s">
        <v>98</v>
      </c>
      <c r="D22" s="51">
        <f t="shared" ca="1" si="0"/>
        <v>145</v>
      </c>
      <c r="E22" s="31">
        <f>H22-G22</f>
        <v>4.4444444444444509E-2</v>
      </c>
      <c r="G22" s="1">
        <v>0.82013888888888886</v>
      </c>
      <c r="H22" s="1">
        <v>0.86458333333333337</v>
      </c>
    </row>
    <row r="23" spans="1:8" x14ac:dyDescent="0.2">
      <c r="A23" s="49">
        <v>42313</v>
      </c>
      <c r="B23" s="35" t="str">
        <f>INDEX(学习总体!A:A,MATCH(表2[[#This Row],[科目]],学习总体!C:C,0))</f>
        <v>Excel</v>
      </c>
      <c r="C23" t="s">
        <v>8</v>
      </c>
      <c r="D23" s="51">
        <f t="shared" ca="1" si="0"/>
        <v>144</v>
      </c>
      <c r="E23" s="31">
        <v>4.8611111111111112E-2</v>
      </c>
    </row>
    <row r="24" spans="1:8" x14ac:dyDescent="0.2">
      <c r="A24" s="49">
        <v>42313</v>
      </c>
      <c r="B24" s="35" t="str">
        <f>INDEX(学习总体!A:A,MATCH(表2[[#This Row],[科目]],学习总体!C:C,0))</f>
        <v>math-advanced math</v>
      </c>
      <c r="C24" t="s">
        <v>103</v>
      </c>
      <c r="D24" s="51">
        <f t="shared" ca="1" si="0"/>
        <v>144</v>
      </c>
      <c r="E24" s="31">
        <v>2.0833333333333332E-2</v>
      </c>
    </row>
    <row r="25" spans="1:8" x14ac:dyDescent="0.2">
      <c r="A25" s="49">
        <v>42313</v>
      </c>
      <c r="B25" s="35" t="str">
        <f>INDEX(学习总体!A:A,MATCH(表2[[#This Row],[科目]],学习总体!C:C,0))</f>
        <v>Python</v>
      </c>
      <c r="C25" t="s">
        <v>14</v>
      </c>
      <c r="D25" s="51">
        <f t="shared" ca="1" si="0"/>
        <v>144</v>
      </c>
      <c r="E25" s="31">
        <v>4.1666666666666664E-2</v>
      </c>
    </row>
    <row r="26" spans="1:8" x14ac:dyDescent="0.2">
      <c r="A26" s="49">
        <v>42314</v>
      </c>
      <c r="B26" s="35" t="str">
        <f>INDEX(学习总体!A:A,MATCH(表2[[#This Row],[科目]],学习总体!C:C,0))</f>
        <v>Excel</v>
      </c>
      <c r="C26" t="s">
        <v>8</v>
      </c>
      <c r="D26" s="51">
        <f t="shared" ca="1" si="0"/>
        <v>143</v>
      </c>
      <c r="E26" s="31">
        <v>4.1666666666666664E-2</v>
      </c>
    </row>
    <row r="27" spans="1:8" x14ac:dyDescent="0.2">
      <c r="A27" s="49">
        <v>42314</v>
      </c>
      <c r="B27" s="35" t="str">
        <f>INDEX(学习总体!A:A,MATCH(表2[[#This Row],[科目]],学习总体!C:C,0))</f>
        <v>字帖-英语</v>
      </c>
      <c r="C27" t="s">
        <v>82</v>
      </c>
      <c r="D27" s="51">
        <f t="shared" ca="1" si="0"/>
        <v>143</v>
      </c>
      <c r="E27" s="31">
        <v>3.125E-2</v>
      </c>
    </row>
    <row r="28" spans="1:8" x14ac:dyDescent="0.2">
      <c r="A28" s="49">
        <v>42314</v>
      </c>
      <c r="B28" s="35" t="str">
        <f>INDEX(学习总体!A:A,MATCH(表2[[#This Row],[科目]],学习总体!C:C,0))</f>
        <v>Python</v>
      </c>
      <c r="C28" t="s">
        <v>14</v>
      </c>
      <c r="D28" s="51">
        <f t="shared" ca="1" si="0"/>
        <v>143</v>
      </c>
      <c r="E28" s="31">
        <v>4.1666666666666664E-2</v>
      </c>
    </row>
    <row r="29" spans="1:8" x14ac:dyDescent="0.2">
      <c r="A29" s="49">
        <v>42315</v>
      </c>
      <c r="B29" s="35" t="str">
        <f>INDEX(学习总体!A:A,MATCH(表2[[#This Row],[科目]],学习总体!C:C,0))</f>
        <v>math-advanced math</v>
      </c>
      <c r="C29" t="s">
        <v>103</v>
      </c>
      <c r="D29" s="51">
        <f t="shared" ca="1" si="0"/>
        <v>142</v>
      </c>
      <c r="E29" s="31">
        <v>2.0833333333333332E-2</v>
      </c>
    </row>
    <row r="30" spans="1:8" x14ac:dyDescent="0.2">
      <c r="A30" s="49">
        <v>42315</v>
      </c>
      <c r="B30" s="35" t="str">
        <f>INDEX(学习总体!A:A,MATCH(表2[[#This Row],[科目]],学习总体!C:C,0))</f>
        <v>Python</v>
      </c>
      <c r="C30" t="s">
        <v>14</v>
      </c>
      <c r="D30" s="51">
        <f t="shared" ca="1" si="0"/>
        <v>142</v>
      </c>
      <c r="E30" s="31">
        <v>0.10416666666666667</v>
      </c>
      <c r="F30" s="38"/>
    </row>
    <row r="31" spans="1:8" x14ac:dyDescent="0.2">
      <c r="A31" s="49">
        <v>42316</v>
      </c>
      <c r="B31" s="35" t="str">
        <f>INDEX(学习总体!A:A,MATCH(表2[[#This Row],[科目]],学习总体!C:C,0))</f>
        <v>经济学-微观-初级</v>
      </c>
      <c r="C31" t="s">
        <v>12</v>
      </c>
      <c r="D31" s="51">
        <f t="shared" ca="1" si="0"/>
        <v>141</v>
      </c>
      <c r="E31" s="31">
        <v>3.125E-2</v>
      </c>
    </row>
    <row r="32" spans="1:8" x14ac:dyDescent="0.2">
      <c r="A32" s="49">
        <v>42316</v>
      </c>
      <c r="B32" s="35" t="str">
        <f>INDEX(学习总体!A:A,MATCH(表2[[#This Row],[科目]],学习总体!C:C,0))</f>
        <v>经济学-微观-初级</v>
      </c>
      <c r="C32" t="s">
        <v>34</v>
      </c>
      <c r="D32" s="51">
        <f t="shared" ca="1" si="0"/>
        <v>141</v>
      </c>
      <c r="E32" s="31">
        <v>2.0833333333333332E-2</v>
      </c>
    </row>
    <row r="33" spans="1:6" x14ac:dyDescent="0.2">
      <c r="A33" s="49">
        <v>42316</v>
      </c>
      <c r="B33" s="35" t="str">
        <f>INDEX(学习总体!A:A,MATCH(表2[[#This Row],[科目]],学习总体!C:C,0))</f>
        <v>math-advanced math</v>
      </c>
      <c r="C33" t="s">
        <v>103</v>
      </c>
      <c r="D33" s="51">
        <f t="shared" ca="1" si="0"/>
        <v>141</v>
      </c>
      <c r="E33" s="31">
        <v>3.125E-2</v>
      </c>
      <c r="F33" s="38" t="s">
        <v>108</v>
      </c>
    </row>
    <row r="34" spans="1:6" x14ac:dyDescent="0.2">
      <c r="A34" s="49">
        <v>42317</v>
      </c>
      <c r="B34" s="35" t="str">
        <f>INDEX(学习总体!A:A,MATCH(表2[[#This Row],[科目]],学习总体!C:C,0))</f>
        <v>Python</v>
      </c>
      <c r="C34" t="s">
        <v>14</v>
      </c>
      <c r="D34" s="51">
        <f t="shared" ca="1" si="0"/>
        <v>140</v>
      </c>
      <c r="E34" s="34">
        <v>4.1666666666666664E-2</v>
      </c>
    </row>
    <row r="35" spans="1:6" x14ac:dyDescent="0.2">
      <c r="A35" s="49">
        <v>42317</v>
      </c>
      <c r="B35" s="35" t="str">
        <f>INDEX(学习总体!A:A,MATCH(表2[[#This Row],[科目]],学习总体!C:C,0))</f>
        <v>Excel</v>
      </c>
      <c r="C35" t="s">
        <v>8</v>
      </c>
      <c r="D35" s="51">
        <f t="shared" ca="1" si="0"/>
        <v>140</v>
      </c>
      <c r="E35" s="31">
        <v>4.1666666666666664E-2</v>
      </c>
    </row>
    <row r="36" spans="1:6" x14ac:dyDescent="0.2">
      <c r="A36" s="49">
        <v>42317</v>
      </c>
      <c r="B36" s="35" t="str">
        <f>INDEX(学习总体!A:A,MATCH(表2[[#This Row],[科目]],学习总体!C:C,0))</f>
        <v>字帖-英语</v>
      </c>
      <c r="C36" t="s">
        <v>82</v>
      </c>
      <c r="D36" s="51">
        <f t="shared" ca="1" si="0"/>
        <v>140</v>
      </c>
      <c r="E36" s="31">
        <v>2.0833333333333332E-2</v>
      </c>
    </row>
    <row r="37" spans="1:6" x14ac:dyDescent="0.2">
      <c r="A37" s="49">
        <v>42317</v>
      </c>
      <c r="B37" s="35" t="str">
        <f>INDEX(学习总体!A:A,MATCH(表2[[#This Row],[科目]],学习总体!C:C,0))</f>
        <v>English</v>
      </c>
      <c r="C37" t="s">
        <v>111</v>
      </c>
      <c r="D37" s="51">
        <f t="shared" ca="1" si="0"/>
        <v>140</v>
      </c>
      <c r="E37" s="31">
        <v>5.2083333333333336E-2</v>
      </c>
    </row>
    <row r="38" spans="1:6" ht="15.75" customHeight="1" x14ac:dyDescent="0.2">
      <c r="A38" s="49">
        <v>42318</v>
      </c>
      <c r="B38" s="35" t="str">
        <f>INDEX(学习总体!A:A,MATCH(表2[[#This Row],[科目]],学习总体!C:C,0))</f>
        <v>Excel</v>
      </c>
      <c r="C38" t="s">
        <v>8</v>
      </c>
      <c r="D38" s="51">
        <f t="shared" ca="1" si="0"/>
        <v>139</v>
      </c>
      <c r="E38" s="31">
        <v>2.0833333333333332E-2</v>
      </c>
      <c r="F38" s="40" t="s">
        <v>116</v>
      </c>
    </row>
    <row r="39" spans="1:6" x14ac:dyDescent="0.2">
      <c r="A39" s="49">
        <v>42318</v>
      </c>
      <c r="B39" s="35" t="str">
        <f>INDEX(学习总体!A:A,MATCH(表2[[#This Row],[科目]],学习总体!C:C,0))</f>
        <v>字帖-英语</v>
      </c>
      <c r="C39" t="s">
        <v>82</v>
      </c>
      <c r="D39" s="51">
        <f t="shared" ca="1" si="0"/>
        <v>139</v>
      </c>
      <c r="E39" s="31">
        <v>2.0833333333333332E-2</v>
      </c>
    </row>
    <row r="40" spans="1:6" x14ac:dyDescent="0.2">
      <c r="A40" s="49">
        <v>42319</v>
      </c>
      <c r="B40" s="35" t="str">
        <f>INDEX(学习总体!A:A,MATCH(表2[[#This Row],[科目]],学习总体!C:C,0))</f>
        <v>Excel</v>
      </c>
      <c r="C40" t="s">
        <v>124</v>
      </c>
      <c r="D40" s="51">
        <f t="shared" ca="1" si="0"/>
        <v>138</v>
      </c>
      <c r="E40" s="31">
        <v>4.1666666666666664E-2</v>
      </c>
    </row>
    <row r="41" spans="1:6" x14ac:dyDescent="0.2">
      <c r="A41" s="49">
        <v>42319</v>
      </c>
      <c r="B41" s="35" t="str">
        <f>INDEX(学习总体!A:A,MATCH(表2[[#This Row],[科目]],学习总体!C:C,0))</f>
        <v>English</v>
      </c>
      <c r="C41" t="s">
        <v>111</v>
      </c>
      <c r="D41" s="51">
        <f t="shared" ca="1" si="0"/>
        <v>138</v>
      </c>
      <c r="E41" s="31">
        <v>3.125E-2</v>
      </c>
    </row>
    <row r="42" spans="1:6" x14ac:dyDescent="0.2">
      <c r="A42" s="49">
        <v>42320</v>
      </c>
      <c r="B42" s="35" t="str">
        <f>INDEX(学习总体!A:A,MATCH(表2[[#This Row],[科目]],学习总体!C:C,0))</f>
        <v>English</v>
      </c>
      <c r="C42" t="s">
        <v>111</v>
      </c>
      <c r="D42" s="51">
        <f t="shared" ca="1" si="0"/>
        <v>137</v>
      </c>
      <c r="E42" s="31">
        <v>4.1666666666666664E-2</v>
      </c>
    </row>
    <row r="43" spans="1:6" x14ac:dyDescent="0.2">
      <c r="A43" s="49">
        <v>42320</v>
      </c>
      <c r="B43" s="35" t="str">
        <f>INDEX(学习总体!A:A,MATCH(表2[[#This Row],[科目]],学习总体!C:C,0))</f>
        <v>字帖-英语</v>
      </c>
      <c r="C43" t="s">
        <v>82</v>
      </c>
      <c r="D43" s="51">
        <f t="shared" ca="1" si="0"/>
        <v>137</v>
      </c>
      <c r="E43" s="31">
        <v>2.7777777777777776E-2</v>
      </c>
    </row>
    <row r="44" spans="1:6" x14ac:dyDescent="0.2">
      <c r="A44" s="49">
        <v>42321</v>
      </c>
      <c r="B44" s="35" t="str">
        <f>INDEX(学习总体!A:A,MATCH(表2[[#This Row],[科目]],学习总体!C:C,0))</f>
        <v>English</v>
      </c>
      <c r="C44" t="s">
        <v>111</v>
      </c>
      <c r="D44" s="51">
        <f t="shared" ca="1" si="0"/>
        <v>136</v>
      </c>
      <c r="E44" s="31">
        <v>4.8611111111111112E-2</v>
      </c>
    </row>
    <row r="45" spans="1:6" x14ac:dyDescent="0.2">
      <c r="A45" s="49">
        <v>42321</v>
      </c>
      <c r="B45" s="35" t="str">
        <f>INDEX(学习总体!A:A,MATCH(表2[[#This Row],[科目]],学习总体!C:C,0))</f>
        <v>字帖-英语</v>
      </c>
      <c r="C45" t="s">
        <v>82</v>
      </c>
      <c r="D45" s="51">
        <f t="shared" ca="1" si="0"/>
        <v>136</v>
      </c>
      <c r="E45" s="31">
        <v>2.0833333333333332E-2</v>
      </c>
    </row>
    <row r="46" spans="1:6" x14ac:dyDescent="0.2">
      <c r="A46" s="49">
        <v>42323</v>
      </c>
      <c r="B46" s="35" t="str">
        <f>INDEX(学习总体!A:A,MATCH(表2[[#This Row],[科目]],学习总体!C:C,0))</f>
        <v>Python</v>
      </c>
      <c r="C46" t="s">
        <v>144</v>
      </c>
      <c r="D46" s="51">
        <f t="shared" ca="1" si="0"/>
        <v>134</v>
      </c>
      <c r="E46" s="31">
        <v>8.3333333333333329E-2</v>
      </c>
    </row>
    <row r="47" spans="1:6" x14ac:dyDescent="0.2">
      <c r="A47" s="49">
        <v>42324</v>
      </c>
      <c r="B47" s="35" t="str">
        <f>INDEX(学习总体!A:A,MATCH(表2[[#This Row],[科目]],学习总体!C:C,0))</f>
        <v>字帖-英语</v>
      </c>
      <c r="C47" t="s">
        <v>82</v>
      </c>
      <c r="D47" s="51">
        <f t="shared" ca="1" si="0"/>
        <v>133</v>
      </c>
      <c r="E47" s="31">
        <v>2.0833333333333332E-2</v>
      </c>
    </row>
    <row r="48" spans="1:6" x14ac:dyDescent="0.2">
      <c r="A48" s="49">
        <v>42324</v>
      </c>
      <c r="B48" s="35" t="str">
        <f>INDEX(学习总体!A:A,MATCH(表2[[#This Row],[科目]],学习总体!C:C,0))</f>
        <v>Excel</v>
      </c>
      <c r="C48" t="s">
        <v>124</v>
      </c>
      <c r="D48" s="51">
        <f t="shared" ca="1" si="0"/>
        <v>133</v>
      </c>
      <c r="E48" s="31">
        <v>4.1666666666666664E-2</v>
      </c>
    </row>
    <row r="49" spans="1:5" x14ac:dyDescent="0.2">
      <c r="A49" s="49">
        <v>42324</v>
      </c>
      <c r="B49" s="35" t="str">
        <f>INDEX(学习总体!A:A,MATCH(表2[[#This Row],[科目]],学习总体!C:C,0))</f>
        <v>English</v>
      </c>
      <c r="C49" t="s">
        <v>111</v>
      </c>
      <c r="D49" s="51">
        <f t="shared" ca="1" si="0"/>
        <v>133</v>
      </c>
      <c r="E49" s="31">
        <v>2.0833333333333332E-2</v>
      </c>
    </row>
    <row r="50" spans="1:5" x14ac:dyDescent="0.2">
      <c r="A50" s="49">
        <v>42324</v>
      </c>
      <c r="B50" s="35" t="str">
        <f>INDEX(学习总体!A:A,MATCH(表2[[#This Row],[科目]],学习总体!C:C,0))</f>
        <v>Python</v>
      </c>
      <c r="C50" t="s">
        <v>144</v>
      </c>
      <c r="D50" s="51">
        <f t="shared" ca="1" si="0"/>
        <v>133</v>
      </c>
      <c r="E50" s="31">
        <v>4.1666666666666664E-2</v>
      </c>
    </row>
    <row r="51" spans="1:5" x14ac:dyDescent="0.2">
      <c r="A51" s="49">
        <v>42324</v>
      </c>
      <c r="B51" s="35" t="str">
        <f>INDEX(学习总体!A:A,MATCH(表2[[#This Row],[科目]],学习总体!C:C,0))</f>
        <v>Python</v>
      </c>
      <c r="C51" t="s">
        <v>144</v>
      </c>
      <c r="D51" s="51">
        <f t="shared" ref="D51:D70" ca="1" si="1">TODAY()-A51</f>
        <v>133</v>
      </c>
      <c r="E51" s="31">
        <v>2.0833333333333332E-2</v>
      </c>
    </row>
    <row r="52" spans="1:5" x14ac:dyDescent="0.2">
      <c r="A52" s="49">
        <v>42325</v>
      </c>
      <c r="B52" s="35" t="str">
        <f>INDEX(学习总体!A:A,MATCH(表2[[#This Row],[科目]],学习总体!C:C,0))</f>
        <v>English</v>
      </c>
      <c r="C52" t="s">
        <v>111</v>
      </c>
      <c r="D52" s="51">
        <f t="shared" ca="1" si="1"/>
        <v>132</v>
      </c>
      <c r="E52" s="31">
        <v>3.125E-2</v>
      </c>
    </row>
    <row r="53" spans="1:5" x14ac:dyDescent="0.2">
      <c r="A53" s="49">
        <v>42325</v>
      </c>
      <c r="B53" s="35" t="str">
        <f>INDEX(学习总体!A:A,MATCH(表2[[#This Row],[科目]],学习总体!C:C,0))</f>
        <v>字帖-英语</v>
      </c>
      <c r="C53" t="s">
        <v>82</v>
      </c>
      <c r="D53" s="51">
        <f t="shared" ca="1" si="1"/>
        <v>132</v>
      </c>
      <c r="E53" s="31">
        <v>2.0833333333333332E-2</v>
      </c>
    </row>
    <row r="54" spans="1:5" x14ac:dyDescent="0.2">
      <c r="A54" s="49">
        <v>42325</v>
      </c>
      <c r="B54" s="35" t="str">
        <f>INDEX(学习总体!A:A,MATCH(表2[[#This Row],[科目]],学习总体!C:C,0))</f>
        <v>Excel</v>
      </c>
      <c r="C54" t="s">
        <v>124</v>
      </c>
      <c r="D54" s="51">
        <f t="shared" ca="1" si="1"/>
        <v>132</v>
      </c>
      <c r="E54" s="31">
        <v>3.125E-2</v>
      </c>
    </row>
    <row r="55" spans="1:5" x14ac:dyDescent="0.2">
      <c r="A55" s="49">
        <v>42325</v>
      </c>
      <c r="B55" s="35" t="str">
        <f>INDEX(学习总体!A:A,MATCH(表2[[#This Row],[科目]],学习总体!C:C,0))</f>
        <v>Python</v>
      </c>
      <c r="C55" t="s">
        <v>149</v>
      </c>
      <c r="D55" s="51">
        <f t="shared" ca="1" si="1"/>
        <v>132</v>
      </c>
      <c r="E55" s="31">
        <v>4.1666666666666664E-2</v>
      </c>
    </row>
    <row r="56" spans="1:5" x14ac:dyDescent="0.2">
      <c r="A56" s="49">
        <v>42326</v>
      </c>
      <c r="B56" s="35" t="str">
        <f>INDEX(学习总体!A:A,MATCH(表2[[#This Row],[科目]],学习总体!C:C,0))</f>
        <v>English</v>
      </c>
      <c r="C56" t="s">
        <v>111</v>
      </c>
      <c r="D56" s="51">
        <f t="shared" ca="1" si="1"/>
        <v>131</v>
      </c>
      <c r="E56" s="31">
        <v>3.125E-2</v>
      </c>
    </row>
    <row r="57" spans="1:5" x14ac:dyDescent="0.2">
      <c r="A57" s="49">
        <v>42326</v>
      </c>
      <c r="B57" s="35" t="str">
        <f>INDEX(学习总体!A:A,MATCH(表2[[#This Row],[科目]],学习总体!C:C,0))</f>
        <v>字帖-英语</v>
      </c>
      <c r="C57" t="s">
        <v>82</v>
      </c>
      <c r="D57" s="51">
        <f t="shared" ca="1" si="1"/>
        <v>131</v>
      </c>
      <c r="E57" s="31">
        <v>2.0833333333333332E-2</v>
      </c>
    </row>
    <row r="58" spans="1:5" x14ac:dyDescent="0.2">
      <c r="A58" s="49">
        <v>42326</v>
      </c>
      <c r="B58" s="35" t="str">
        <f>INDEX(学习总体!A:A,MATCH(表2[[#This Row],[科目]],学习总体!C:C,0))</f>
        <v>Python</v>
      </c>
      <c r="C58" t="s">
        <v>144</v>
      </c>
      <c r="D58" s="51">
        <f t="shared" ca="1" si="1"/>
        <v>131</v>
      </c>
      <c r="E58" s="31">
        <v>2.0833333333333332E-2</v>
      </c>
    </row>
    <row r="59" spans="1:5" x14ac:dyDescent="0.2">
      <c r="A59" s="49">
        <v>42327</v>
      </c>
      <c r="B59" s="35" t="str">
        <f>INDEX(学习总体!A:A,MATCH(表2[[#This Row],[科目]],学习总体!C:C,0))</f>
        <v>Python</v>
      </c>
      <c r="C59" t="s">
        <v>144</v>
      </c>
      <c r="D59" s="51">
        <f t="shared" ca="1" si="1"/>
        <v>130</v>
      </c>
      <c r="E59" s="31">
        <v>5.2083333333333336E-2</v>
      </c>
    </row>
    <row r="60" spans="1:5" x14ac:dyDescent="0.2">
      <c r="A60" s="49">
        <v>42327</v>
      </c>
      <c r="B60" s="35" t="str">
        <f>INDEX(学习总体!A:A,MATCH(表2[[#This Row],[科目]],学习总体!C:C,0))</f>
        <v>English</v>
      </c>
      <c r="C60" t="s">
        <v>111</v>
      </c>
      <c r="D60" s="51">
        <f t="shared" ca="1" si="1"/>
        <v>130</v>
      </c>
      <c r="E60" s="31">
        <v>2.0833333333333332E-2</v>
      </c>
    </row>
    <row r="61" spans="1:5" x14ac:dyDescent="0.2">
      <c r="A61" s="49">
        <v>42327</v>
      </c>
      <c r="B61" s="35" t="str">
        <f>INDEX(学习总体!A:A,MATCH(表2[[#This Row],[科目]],学习总体!C:C,0))</f>
        <v>math-advanced math</v>
      </c>
      <c r="C61" t="s">
        <v>103</v>
      </c>
      <c r="D61" s="51">
        <f t="shared" ca="1" si="1"/>
        <v>130</v>
      </c>
      <c r="E61" s="31">
        <v>3.125E-2</v>
      </c>
    </row>
    <row r="62" spans="1:5" x14ac:dyDescent="0.2">
      <c r="A62" s="49">
        <v>42327</v>
      </c>
      <c r="B62" s="35" t="str">
        <f>INDEX(学习总体!A:A,MATCH(表2[[#This Row],[科目]],学习总体!C:C,0))</f>
        <v>字帖-英语</v>
      </c>
      <c r="C62" t="s">
        <v>82</v>
      </c>
      <c r="D62" s="51">
        <f t="shared" ca="1" si="1"/>
        <v>130</v>
      </c>
      <c r="E62" s="31">
        <v>3.125E-2</v>
      </c>
    </row>
    <row r="63" spans="1:5" x14ac:dyDescent="0.2">
      <c r="A63" s="49">
        <v>42327</v>
      </c>
      <c r="B63" s="35" t="str">
        <f>INDEX(学习总体!A:A,MATCH(表2[[#This Row],[科目]],学习总体!C:C,0))</f>
        <v>Excel</v>
      </c>
      <c r="C63" t="s">
        <v>124</v>
      </c>
      <c r="D63" s="51">
        <f t="shared" ca="1" si="1"/>
        <v>130</v>
      </c>
      <c r="E63" s="31">
        <v>4.1666666666666664E-2</v>
      </c>
    </row>
    <row r="64" spans="1:5" x14ac:dyDescent="0.2">
      <c r="A64" s="49">
        <v>42327</v>
      </c>
      <c r="B64" s="35" t="str">
        <f>INDEX(学习总体!A:A,MATCH(表2[[#This Row],[科目]],学习总体!C:C,0))</f>
        <v>Python</v>
      </c>
      <c r="C64" t="s">
        <v>149</v>
      </c>
      <c r="D64" s="51">
        <f t="shared" ca="1" si="1"/>
        <v>130</v>
      </c>
      <c r="E64" s="31">
        <v>8.3333333333333329E-2</v>
      </c>
    </row>
    <row r="65" spans="1:6" x14ac:dyDescent="0.2">
      <c r="A65" s="49">
        <v>42328</v>
      </c>
      <c r="B65" s="35" t="str">
        <f>INDEX(学习总体!A:A,MATCH(表2[[#This Row],[科目]],学习总体!C:C,0))</f>
        <v>English</v>
      </c>
      <c r="C65" t="s">
        <v>111</v>
      </c>
      <c r="D65" s="51">
        <f t="shared" ca="1" si="1"/>
        <v>129</v>
      </c>
      <c r="E65" s="31">
        <v>3.4722222222222224E-2</v>
      </c>
    </row>
    <row r="66" spans="1:6" x14ac:dyDescent="0.2">
      <c r="A66" s="49">
        <v>42328</v>
      </c>
      <c r="B66" s="35" t="str">
        <f>INDEX(学习总体!A:A,MATCH(表2[[#This Row],[科目]],学习总体!C:C,0))</f>
        <v>字帖-英语</v>
      </c>
      <c r="C66" t="s">
        <v>82</v>
      </c>
      <c r="D66" s="51">
        <f t="shared" ca="1" si="1"/>
        <v>129</v>
      </c>
      <c r="E66" s="31">
        <v>2.7777777777777776E-2</v>
      </c>
    </row>
    <row r="67" spans="1:6" x14ac:dyDescent="0.2">
      <c r="A67" s="49">
        <v>42328</v>
      </c>
      <c r="B67" s="35" t="str">
        <f>INDEX(学习总体!A:A,MATCH(表2[[#This Row],[科目]],学习总体!C:C,0))</f>
        <v>Python</v>
      </c>
      <c r="C67" t="s">
        <v>14</v>
      </c>
      <c r="D67" s="51">
        <f t="shared" ca="1" si="1"/>
        <v>129</v>
      </c>
      <c r="E67" s="31">
        <v>2.7777777777777776E-2</v>
      </c>
    </row>
    <row r="68" spans="1:6" x14ac:dyDescent="0.2">
      <c r="A68" s="49">
        <v>42328</v>
      </c>
      <c r="B68" s="35" t="str">
        <f>INDEX(学习总体!A:A,MATCH(表2[[#This Row],[科目]],学习总体!C:C,0))</f>
        <v>Excel</v>
      </c>
      <c r="C68" t="s">
        <v>124</v>
      </c>
      <c r="D68" s="51">
        <f t="shared" ca="1" si="1"/>
        <v>129</v>
      </c>
      <c r="E68" s="31">
        <v>4.1666666666666664E-2</v>
      </c>
    </row>
    <row r="69" spans="1:6" x14ac:dyDescent="0.2">
      <c r="A69" s="49">
        <v>42328</v>
      </c>
      <c r="B69" s="35" t="str">
        <f>INDEX(学习总体!A:A,MATCH(表2[[#This Row],[科目]],学习总体!C:C,0))</f>
        <v>Python</v>
      </c>
      <c r="C69" t="s">
        <v>149</v>
      </c>
      <c r="D69" s="51">
        <f t="shared" ca="1" si="1"/>
        <v>129</v>
      </c>
      <c r="E69" s="31">
        <v>8.3333333333333329E-2</v>
      </c>
    </row>
    <row r="70" spans="1:6" x14ac:dyDescent="0.2">
      <c r="A70" s="49">
        <v>42329</v>
      </c>
      <c r="B70" s="35" t="str">
        <f>INDEX(学习总体!A:A,MATCH(表2[[#This Row],[科目]],学习总体!C:C,0))</f>
        <v>Python</v>
      </c>
      <c r="C70" t="s">
        <v>149</v>
      </c>
      <c r="D70" s="51">
        <f t="shared" ca="1" si="1"/>
        <v>128</v>
      </c>
      <c r="E70" s="31">
        <v>5.9027777777777783E-2</v>
      </c>
      <c r="F70" s="38" t="s">
        <v>152</v>
      </c>
    </row>
    <row r="71" spans="1:6" x14ac:dyDescent="0.2">
      <c r="A71" s="49">
        <v>42330</v>
      </c>
      <c r="B71" s="35" t="str">
        <f>INDEX(学习总体!A:A,MATCH(表2[[#This Row],[科目]],学习总体!C:C,0))</f>
        <v>Python</v>
      </c>
      <c r="C71" t="s">
        <v>144</v>
      </c>
      <c r="D71" s="51">
        <f t="shared" ref="D71:D76" ca="1" si="2">TODAY()-A71</f>
        <v>127</v>
      </c>
      <c r="E71" s="31">
        <v>2.0833333333333332E-2</v>
      </c>
    </row>
    <row r="72" spans="1:6" x14ac:dyDescent="0.2">
      <c r="A72" s="49">
        <v>42330</v>
      </c>
      <c r="B72" s="35" t="str">
        <f>INDEX(学习总体!A:A,MATCH(表2[[#This Row],[科目]],学习总体!C:C,0))</f>
        <v>字帖-英语</v>
      </c>
      <c r="C72" t="s">
        <v>82</v>
      </c>
      <c r="D72" s="51">
        <f t="shared" ca="1" si="2"/>
        <v>127</v>
      </c>
      <c r="E72" s="31">
        <v>2.0833333333333332E-2</v>
      </c>
    </row>
    <row r="73" spans="1:6" x14ac:dyDescent="0.2">
      <c r="A73" s="49">
        <v>42331</v>
      </c>
      <c r="B73" s="35" t="str">
        <f>INDEX(学习总体!A:A,MATCH(表2[[#This Row],[科目]],学习总体!C:C,0))</f>
        <v>字帖-英语</v>
      </c>
      <c r="C73" t="s">
        <v>82</v>
      </c>
      <c r="D73" s="51">
        <f t="shared" ca="1" si="2"/>
        <v>126</v>
      </c>
      <c r="E73" s="31">
        <v>2.4305555555555556E-2</v>
      </c>
    </row>
    <row r="74" spans="1:6" x14ac:dyDescent="0.2">
      <c r="A74" s="49">
        <v>42331</v>
      </c>
      <c r="B74" s="35" t="str">
        <f>INDEX(学习总体!A:A,MATCH(表2[[#This Row],[科目]],学习总体!C:C,0))</f>
        <v>Excel</v>
      </c>
      <c r="C74" t="s">
        <v>124</v>
      </c>
      <c r="D74" s="51">
        <f t="shared" ca="1" si="2"/>
        <v>126</v>
      </c>
      <c r="E74" s="31">
        <v>2.0833333333333332E-2</v>
      </c>
    </row>
    <row r="75" spans="1:6" x14ac:dyDescent="0.2">
      <c r="A75" s="49">
        <v>42331</v>
      </c>
      <c r="B75" s="35" t="str">
        <f>INDEX(学习总体!A:A,MATCH(表2[[#This Row],[科目]],学习总体!C:C,0))</f>
        <v>Python</v>
      </c>
      <c r="C75" t="s">
        <v>144</v>
      </c>
      <c r="D75" s="51">
        <f t="shared" ca="1" si="2"/>
        <v>126</v>
      </c>
      <c r="E75" s="31">
        <v>3.125E-2</v>
      </c>
    </row>
    <row r="76" spans="1:6" x14ac:dyDescent="0.2">
      <c r="A76" s="49">
        <v>42332</v>
      </c>
      <c r="B76" s="35" t="str">
        <f>INDEX(学习总体!A:A,MATCH(表2[[#This Row],[科目]],学习总体!C:C,0))</f>
        <v>字帖-英语</v>
      </c>
      <c r="C76" t="s">
        <v>82</v>
      </c>
      <c r="D76" s="51">
        <f t="shared" ca="1" si="2"/>
        <v>125</v>
      </c>
      <c r="E76" s="31">
        <v>3.125E-2</v>
      </c>
    </row>
    <row r="77" spans="1:6" x14ac:dyDescent="0.2">
      <c r="A77" s="49">
        <v>42332</v>
      </c>
      <c r="B77" s="35" t="str">
        <f>INDEX(学习总体!A:A,MATCH(表2[[#This Row],[科目]],学习总体!C:C,0))</f>
        <v>English</v>
      </c>
      <c r="C77" t="s">
        <v>111</v>
      </c>
      <c r="D77" s="51">
        <f ca="1">TODAY()-A77</f>
        <v>125</v>
      </c>
      <c r="E77" s="31">
        <v>4.1666666666666664E-2</v>
      </c>
    </row>
    <row r="78" spans="1:6" x14ac:dyDescent="0.2">
      <c r="A78" s="49">
        <v>42333</v>
      </c>
      <c r="B78" s="35" t="str">
        <f>INDEX(学习总体!A:A,MATCH(表2[[#This Row],[科目]],学习总体!C:C,0))</f>
        <v>字帖-英语</v>
      </c>
      <c r="C78" t="s">
        <v>82</v>
      </c>
      <c r="D78" s="51">
        <f ca="1">TODAY()-A78</f>
        <v>124</v>
      </c>
      <c r="E78" s="31">
        <v>3.125E-2</v>
      </c>
    </row>
    <row r="79" spans="1:6" x14ac:dyDescent="0.2">
      <c r="A79" s="49">
        <v>42333</v>
      </c>
      <c r="B79" s="35" t="str">
        <f>INDEX(学习总体!A:A,MATCH(表2[[#This Row],[科目]],学习总体!C:C,0))</f>
        <v>English</v>
      </c>
      <c r="C79" t="s">
        <v>111</v>
      </c>
      <c r="D79" s="51">
        <f ca="1">TODAY()-A79</f>
        <v>124</v>
      </c>
      <c r="E79" s="31">
        <v>4.1666666666666664E-2</v>
      </c>
    </row>
    <row r="80" spans="1:6" x14ac:dyDescent="0.2">
      <c r="A80" s="49">
        <v>42334</v>
      </c>
      <c r="B80" s="35" t="str">
        <f>INDEX(学习总体!A:A,MATCH(表2[[#This Row],[科目]],学习总体!C:C,0))</f>
        <v>English</v>
      </c>
      <c r="C80" t="s">
        <v>111</v>
      </c>
      <c r="D80" s="51">
        <f t="shared" ref="D80:D81" ca="1" si="3">TODAY()-A80</f>
        <v>123</v>
      </c>
      <c r="E80" s="31">
        <v>5.2083333333333336E-2</v>
      </c>
    </row>
    <row r="81" spans="1:8" x14ac:dyDescent="0.2">
      <c r="A81" s="49">
        <v>42334</v>
      </c>
      <c r="B81" s="35" t="str">
        <f>INDEX(学习总体!A:A,MATCH(表2[[#This Row],[科目]],学习总体!C:C,0))</f>
        <v>Excel</v>
      </c>
      <c r="C81" t="s">
        <v>124</v>
      </c>
      <c r="D81" s="51">
        <f t="shared" ca="1" si="3"/>
        <v>123</v>
      </c>
      <c r="E81" s="31">
        <v>6.25E-2</v>
      </c>
    </row>
    <row r="82" spans="1:8" x14ac:dyDescent="0.2">
      <c r="A82" s="49">
        <v>42334</v>
      </c>
      <c r="B82" s="35" t="str">
        <f>INDEX(学习总体!A:A,MATCH(表2[[#This Row],[科目]],学习总体!C:C,0))</f>
        <v>math-advanced math</v>
      </c>
      <c r="C82" t="s">
        <v>103</v>
      </c>
      <c r="D82" s="51">
        <f ca="1">TODAY()-A82</f>
        <v>123</v>
      </c>
      <c r="E82" s="31">
        <v>2.0833333333333332E-2</v>
      </c>
    </row>
    <row r="83" spans="1:8" x14ac:dyDescent="0.2">
      <c r="A83" s="49">
        <v>42335</v>
      </c>
      <c r="B83" s="35" t="str">
        <f>INDEX(学习总体!A:A,MATCH(表2[[#This Row],[科目]],学习总体!C:C,0))</f>
        <v>字帖-英语</v>
      </c>
      <c r="C83" t="s">
        <v>82</v>
      </c>
      <c r="D83" s="51">
        <f ca="1">TODAY()-A83</f>
        <v>122</v>
      </c>
      <c r="E83" s="31">
        <v>3.125E-2</v>
      </c>
    </row>
    <row r="84" spans="1:8" x14ac:dyDescent="0.2">
      <c r="A84" s="49">
        <v>42337</v>
      </c>
      <c r="B84" s="35" t="str">
        <f>INDEX(学习总体!A:A,MATCH(表2[[#This Row],[科目]],学习总体!C:C,0))</f>
        <v>math-advanced math</v>
      </c>
      <c r="C84" t="s">
        <v>98</v>
      </c>
      <c r="D84" s="51">
        <f ca="1">TODAY()-A84</f>
        <v>120</v>
      </c>
      <c r="E84" s="31">
        <f>表2[[#This Row],[结束时间]]-表2[[#This Row],[开始时间]]</f>
        <v>4.7222222222222221E-2</v>
      </c>
      <c r="G84" s="1">
        <v>0.4597222222222222</v>
      </c>
      <c r="H84" s="1">
        <v>0.50694444444444442</v>
      </c>
    </row>
    <row r="85" spans="1:8" x14ac:dyDescent="0.2">
      <c r="A85" s="49">
        <v>42337</v>
      </c>
      <c r="B85" s="35" t="str">
        <f>INDEX(学习总体!A:A,MATCH(表2[[#This Row],[科目]],学习总体!C:C,0))</f>
        <v>math-advanced math</v>
      </c>
      <c r="C85" t="s">
        <v>98</v>
      </c>
      <c r="D85" s="51">
        <f ca="1">TODAY()-A85</f>
        <v>120</v>
      </c>
      <c r="E85" s="31">
        <v>4.1666666666666664E-2</v>
      </c>
    </row>
    <row r="86" spans="1:8" x14ac:dyDescent="0.2">
      <c r="A86" s="49">
        <v>42338</v>
      </c>
      <c r="B86" s="35" t="str">
        <f>INDEX(学习总体!A:A,MATCH(表2[[#This Row],[科目]],学习总体!C:C,0))</f>
        <v>字帖-英语</v>
      </c>
      <c r="C86" t="s">
        <v>82</v>
      </c>
      <c r="D86" s="51">
        <f t="shared" ref="D86:D87" ca="1" si="4">TODAY()-A86</f>
        <v>119</v>
      </c>
      <c r="E86" s="31">
        <v>2.7777777777777776E-2</v>
      </c>
    </row>
    <row r="87" spans="1:8" x14ac:dyDescent="0.2">
      <c r="A87" s="49">
        <v>42338</v>
      </c>
      <c r="B87" s="35" t="str">
        <f>INDEX(学习总体!A:A,MATCH(表2[[#This Row],[科目]],学习总体!C:C,0))</f>
        <v>English</v>
      </c>
      <c r="C87" t="s">
        <v>111</v>
      </c>
      <c r="D87" s="51">
        <f t="shared" ca="1" si="4"/>
        <v>119</v>
      </c>
      <c r="E87" s="31">
        <v>4.1666666666666664E-2</v>
      </c>
    </row>
    <row r="88" spans="1:8" x14ac:dyDescent="0.2">
      <c r="A88" s="49">
        <v>42339</v>
      </c>
      <c r="B88" s="35" t="str">
        <f>INDEX(学习总体!A:A,MATCH(表2[[#This Row],[科目]],学习总体!C:C,0))</f>
        <v>English</v>
      </c>
      <c r="C88" t="s">
        <v>111</v>
      </c>
      <c r="D88" s="51">
        <f t="shared" ref="D88:D93" ca="1" si="5">TODAY()-A88</f>
        <v>118</v>
      </c>
      <c r="E88" s="31">
        <v>4.1666666666666664E-2</v>
      </c>
    </row>
    <row r="89" spans="1:8" x14ac:dyDescent="0.2">
      <c r="A89" s="49">
        <v>42339</v>
      </c>
      <c r="B89" s="35" t="str">
        <f>INDEX(学习总体!A:A,MATCH(表2[[#This Row],[科目]],学习总体!C:C,0))</f>
        <v>Python</v>
      </c>
      <c r="C89" t="s">
        <v>22</v>
      </c>
      <c r="D89" s="51">
        <f t="shared" ca="1" si="5"/>
        <v>118</v>
      </c>
      <c r="E89" s="31">
        <v>4.1666666666666664E-2</v>
      </c>
    </row>
    <row r="90" spans="1:8" x14ac:dyDescent="0.2">
      <c r="A90" s="49">
        <v>42339</v>
      </c>
      <c r="B90" s="35" t="str">
        <f>INDEX(学习总体!A:A,MATCH(表2[[#This Row],[科目]],学习总体!C:C,0))</f>
        <v>字帖-英语</v>
      </c>
      <c r="C90" t="s">
        <v>82</v>
      </c>
      <c r="D90" s="51">
        <f t="shared" ca="1" si="5"/>
        <v>118</v>
      </c>
      <c r="E90" s="31">
        <v>2.0833333333333332E-2</v>
      </c>
    </row>
    <row r="91" spans="1:8" x14ac:dyDescent="0.2">
      <c r="A91" s="49">
        <v>42339</v>
      </c>
      <c r="B91" s="35" t="str">
        <f>INDEX(学习总体!A:A,MATCH(表2[[#This Row],[科目]],学习总体!C:C,0))</f>
        <v>Python</v>
      </c>
      <c r="C91" t="s">
        <v>144</v>
      </c>
      <c r="D91" s="51">
        <f t="shared" ca="1" si="5"/>
        <v>118</v>
      </c>
      <c r="E91" s="31">
        <v>8.3333333333333329E-2</v>
      </c>
      <c r="F91" s="37" t="s">
        <v>156</v>
      </c>
    </row>
    <row r="92" spans="1:8" x14ac:dyDescent="0.2">
      <c r="A92" s="49">
        <v>42340</v>
      </c>
      <c r="B92" s="35" t="str">
        <f>INDEX(学习总体!A:A,MATCH(表2[[#This Row],[科目]],学习总体!C:C,0))</f>
        <v>Excel</v>
      </c>
      <c r="C92" t="s">
        <v>124</v>
      </c>
      <c r="D92" s="51">
        <f t="shared" ca="1" si="5"/>
        <v>117</v>
      </c>
      <c r="E92" s="31">
        <v>4.1666666666666664E-2</v>
      </c>
    </row>
    <row r="93" spans="1:8" x14ac:dyDescent="0.2">
      <c r="A93" s="49">
        <v>42340</v>
      </c>
      <c r="B93" s="35" t="str">
        <f>INDEX(学习总体!A:A,MATCH(表2[[#This Row],[科目]],学习总体!C:C,0))</f>
        <v>字帖-英语</v>
      </c>
      <c r="C93" t="s">
        <v>82</v>
      </c>
      <c r="D93" s="51">
        <f t="shared" ca="1" si="5"/>
        <v>117</v>
      </c>
      <c r="E93" s="31">
        <v>2.4305555555555556E-2</v>
      </c>
    </row>
    <row r="94" spans="1:8" x14ac:dyDescent="0.2">
      <c r="A94" s="49">
        <v>42340</v>
      </c>
      <c r="B94" s="35" t="str">
        <f>INDEX(学习总体!A:A,MATCH(表2[[#This Row],[科目]],学习总体!C:C,0))</f>
        <v>English</v>
      </c>
      <c r="C94" t="s">
        <v>111</v>
      </c>
      <c r="D94" s="51">
        <f t="shared" ref="D94:D102" ca="1" si="6">TODAY()-A94</f>
        <v>117</v>
      </c>
      <c r="E94" s="31">
        <v>4.1666666666666664E-2</v>
      </c>
    </row>
    <row r="95" spans="1:8" x14ac:dyDescent="0.2">
      <c r="A95" s="49">
        <v>42340</v>
      </c>
      <c r="B95" s="35" t="str">
        <f>INDEX(学习总体!A:A,MATCH(表2[[#This Row],[科目]],学习总体!C:C,0))</f>
        <v>Python</v>
      </c>
      <c r="C95" t="s">
        <v>144</v>
      </c>
      <c r="D95" s="51">
        <f t="shared" ca="1" si="6"/>
        <v>117</v>
      </c>
      <c r="E95" s="31">
        <v>6.25E-2</v>
      </c>
    </row>
    <row r="96" spans="1:8" x14ac:dyDescent="0.2">
      <c r="A96" s="49">
        <v>42341</v>
      </c>
      <c r="B96" s="35" t="str">
        <f>INDEX(学习总体!A:A,MATCH(表2[[#This Row],[科目]],学习总体!C:C,0))</f>
        <v>English</v>
      </c>
      <c r="C96" t="s">
        <v>111</v>
      </c>
      <c r="D96" s="51">
        <f t="shared" ca="1" si="6"/>
        <v>116</v>
      </c>
      <c r="E96" s="31">
        <v>2.7777777777777776E-2</v>
      </c>
    </row>
    <row r="97" spans="1:6" x14ac:dyDescent="0.2">
      <c r="A97" s="49">
        <v>42341</v>
      </c>
      <c r="B97" s="35" t="str">
        <f>INDEX(学习总体!A:A,MATCH(表2[[#This Row],[科目]],学习总体!C:C,0))</f>
        <v>字帖-英语</v>
      </c>
      <c r="C97" t="s">
        <v>82</v>
      </c>
      <c r="D97" s="51">
        <f t="shared" ca="1" si="6"/>
        <v>116</v>
      </c>
      <c r="E97" s="31">
        <v>3.125E-2</v>
      </c>
    </row>
    <row r="98" spans="1:6" x14ac:dyDescent="0.2">
      <c r="A98" s="49">
        <v>42341</v>
      </c>
      <c r="B98" s="35" t="str">
        <f>INDEX(学习总体!A:A,MATCH(表2[[#This Row],[科目]],学习总体!C:C,0))</f>
        <v>Excel</v>
      </c>
      <c r="C98" t="s">
        <v>124</v>
      </c>
      <c r="D98" s="51">
        <f t="shared" ca="1" si="6"/>
        <v>116</v>
      </c>
      <c r="E98" s="31">
        <v>2.0833333333333332E-2</v>
      </c>
    </row>
    <row r="99" spans="1:6" x14ac:dyDescent="0.2">
      <c r="A99" s="49">
        <v>42342</v>
      </c>
      <c r="B99" s="35" t="str">
        <f>INDEX(学习总体!A:A,MATCH(表2[[#This Row],[科目]],学习总体!C:C,0))</f>
        <v>English</v>
      </c>
      <c r="C99" t="s">
        <v>111</v>
      </c>
      <c r="D99" s="51">
        <f t="shared" ca="1" si="6"/>
        <v>115</v>
      </c>
      <c r="E99" s="31">
        <v>2.0833333333333332E-2</v>
      </c>
    </row>
    <row r="100" spans="1:6" x14ac:dyDescent="0.2">
      <c r="A100" s="49">
        <v>42342</v>
      </c>
      <c r="B100" s="35" t="str">
        <f>INDEX(学习总体!A:A,MATCH(表2[[#This Row],[科目]],学习总体!C:C,0))</f>
        <v>字帖-英语</v>
      </c>
      <c r="C100" t="s">
        <v>82</v>
      </c>
      <c r="D100" s="51">
        <f t="shared" ca="1" si="6"/>
        <v>115</v>
      </c>
      <c r="E100" s="31">
        <v>2.0833333333333332E-2</v>
      </c>
    </row>
    <row r="101" spans="1:6" x14ac:dyDescent="0.2">
      <c r="A101" s="49">
        <v>42342</v>
      </c>
      <c r="B101" s="35" t="str">
        <f>INDEX(学习总体!A:A,MATCH(表2[[#This Row],[科目]],学习总体!C:C,0))</f>
        <v>Excel</v>
      </c>
      <c r="C101" t="s">
        <v>124</v>
      </c>
      <c r="D101" s="51">
        <f ca="1">TODAY()-A101</f>
        <v>115</v>
      </c>
      <c r="E101" s="31">
        <v>3.125E-2</v>
      </c>
    </row>
    <row r="102" spans="1:6" x14ac:dyDescent="0.2">
      <c r="A102" s="49">
        <v>42344</v>
      </c>
      <c r="B102" s="35" t="str">
        <f>INDEX(学习总体!A:A,MATCH(表2[[#This Row],[科目]],学习总体!C:C,0))</f>
        <v>Python</v>
      </c>
      <c r="C102" t="s">
        <v>225</v>
      </c>
      <c r="D102" s="51">
        <f t="shared" ca="1" si="6"/>
        <v>113</v>
      </c>
      <c r="E102" s="31">
        <v>0.16666666666666666</v>
      </c>
      <c r="F102" s="38" t="s">
        <v>160</v>
      </c>
    </row>
    <row r="103" spans="1:6" x14ac:dyDescent="0.2">
      <c r="A103" s="49">
        <v>42345</v>
      </c>
      <c r="B103" s="35" t="str">
        <f>INDEX(学习总体!A:A,MATCH(表2[[#This Row],[科目]],学习总体!C:C,0))</f>
        <v>Python</v>
      </c>
      <c r="C103" t="s">
        <v>225</v>
      </c>
      <c r="D103" s="51">
        <f t="shared" ref="D103:D109" ca="1" si="7">TODAY()-A103</f>
        <v>112</v>
      </c>
      <c r="E103" s="31">
        <v>0.10416666666666667</v>
      </c>
    </row>
    <row r="104" spans="1:6" x14ac:dyDescent="0.2">
      <c r="A104" s="49">
        <v>42345</v>
      </c>
      <c r="B104" s="35" t="str">
        <f>INDEX(学习总体!A:A,MATCH(表2[[#This Row],[科目]],学习总体!C:C,0))</f>
        <v>字帖-英语</v>
      </c>
      <c r="C104" t="s">
        <v>82</v>
      </c>
      <c r="D104" s="51">
        <f t="shared" ca="1" si="7"/>
        <v>112</v>
      </c>
      <c r="E104" s="31">
        <v>2.0833333333333332E-2</v>
      </c>
    </row>
    <row r="105" spans="1:6" x14ac:dyDescent="0.2">
      <c r="A105" s="49">
        <v>42346</v>
      </c>
      <c r="B105" s="35" t="str">
        <f>INDEX(学习总体!A:A,MATCH(表2[[#This Row],[科目]],学习总体!C:C,0))</f>
        <v>字帖-英语</v>
      </c>
      <c r="C105" t="s">
        <v>82</v>
      </c>
      <c r="D105" s="51">
        <f t="shared" ca="1" si="7"/>
        <v>111</v>
      </c>
      <c r="E105" s="31">
        <v>2.0833333333333332E-2</v>
      </c>
    </row>
    <row r="106" spans="1:6" x14ac:dyDescent="0.2">
      <c r="A106" s="49">
        <v>42347</v>
      </c>
      <c r="B106" s="35" t="str">
        <f>INDEX(学习总体!A:A,MATCH(表2[[#This Row],[科目]],学习总体!C:C,0))</f>
        <v>Python</v>
      </c>
      <c r="C106" t="s">
        <v>225</v>
      </c>
      <c r="D106" s="51">
        <f t="shared" ca="1" si="7"/>
        <v>110</v>
      </c>
      <c r="E106" s="31">
        <v>0.10416666666666667</v>
      </c>
      <c r="F106" s="38" t="s">
        <v>162</v>
      </c>
    </row>
    <row r="107" spans="1:6" x14ac:dyDescent="0.2">
      <c r="A107" s="49">
        <v>42348</v>
      </c>
      <c r="B107" s="35" t="str">
        <f>INDEX(学习总体!A:A,MATCH(表2[[#This Row],[科目]],学习总体!C:C,0))</f>
        <v>Python</v>
      </c>
      <c r="C107" t="s">
        <v>225</v>
      </c>
      <c r="D107" s="51">
        <f t="shared" ca="1" si="7"/>
        <v>109</v>
      </c>
      <c r="E107" s="31">
        <v>0.10416666666666667</v>
      </c>
      <c r="F107" s="38" t="s">
        <v>162</v>
      </c>
    </row>
    <row r="108" spans="1:6" x14ac:dyDescent="0.2">
      <c r="A108" s="49">
        <v>42352</v>
      </c>
      <c r="B108" s="35" t="str">
        <f>INDEX(学习总体!A:A,MATCH(表2[[#This Row],[科目]],学习总体!C:C,0))</f>
        <v>字帖-英语</v>
      </c>
      <c r="C108" t="s">
        <v>82</v>
      </c>
      <c r="D108" s="51">
        <f t="shared" ca="1" si="7"/>
        <v>105</v>
      </c>
      <c r="E108" s="31">
        <v>3.125E-2</v>
      </c>
    </row>
    <row r="109" spans="1:6" x14ac:dyDescent="0.2">
      <c r="A109" s="49">
        <v>42352</v>
      </c>
      <c r="B109" s="35" t="str">
        <f>INDEX(学习总体!A:A,MATCH(表2[[#This Row],[科目]],学习总体!C:C,0))</f>
        <v>Python</v>
      </c>
      <c r="C109" t="s">
        <v>31</v>
      </c>
      <c r="D109" s="51">
        <f t="shared" ca="1" si="7"/>
        <v>105</v>
      </c>
      <c r="F109" s="38" t="s">
        <v>163</v>
      </c>
    </row>
    <row r="110" spans="1:6" x14ac:dyDescent="0.2">
      <c r="A110" s="49">
        <v>42353</v>
      </c>
      <c r="B110" s="35" t="str">
        <f>INDEX(学习总体!A:A,MATCH(表2[[#This Row],[科目]],学习总体!C:C,0))</f>
        <v>字帖-英语</v>
      </c>
      <c r="C110" t="s">
        <v>82</v>
      </c>
      <c r="D110" s="51">
        <f t="shared" ref="D110:D115" ca="1" si="8">TODAY()-A110</f>
        <v>104</v>
      </c>
      <c r="E110" s="31">
        <v>3.125E-2</v>
      </c>
    </row>
    <row r="111" spans="1:6" x14ac:dyDescent="0.2">
      <c r="A111" s="49">
        <v>42353</v>
      </c>
      <c r="B111" s="35" t="str">
        <f>INDEX(学习总体!A:A,MATCH(表2[[#This Row],[科目]],学习总体!C:C,0))</f>
        <v>Python</v>
      </c>
      <c r="C111" t="s">
        <v>165</v>
      </c>
      <c r="D111" s="51">
        <f t="shared" ca="1" si="8"/>
        <v>104</v>
      </c>
      <c r="E111" s="31">
        <v>0.20833333333333334</v>
      </c>
    </row>
    <row r="112" spans="1:6" x14ac:dyDescent="0.2">
      <c r="A112" s="49">
        <v>42354</v>
      </c>
      <c r="B112" s="35" t="str">
        <f>INDEX(学习总体!A:A,MATCH(表2[[#This Row],[科目]],学习总体!C:C,0))</f>
        <v>字帖-英语</v>
      </c>
      <c r="C112" t="s">
        <v>82</v>
      </c>
      <c r="D112" s="51">
        <f t="shared" ca="1" si="8"/>
        <v>103</v>
      </c>
      <c r="E112" s="31">
        <v>2.0833333333333332E-2</v>
      </c>
    </row>
    <row r="113" spans="1:6" x14ac:dyDescent="0.2">
      <c r="A113" s="49">
        <v>42354</v>
      </c>
      <c r="B113" s="35" t="str">
        <f>INDEX(学习总体!A:A,MATCH(表2[[#This Row],[科目]],学习总体!C:C,0))</f>
        <v>English</v>
      </c>
      <c r="C113" t="s">
        <v>111</v>
      </c>
      <c r="D113" s="51">
        <f t="shared" ca="1" si="8"/>
        <v>103</v>
      </c>
      <c r="E113" s="31">
        <v>4.1666666666666664E-2</v>
      </c>
    </row>
    <row r="114" spans="1:6" x14ac:dyDescent="0.2">
      <c r="A114" s="49">
        <v>42356</v>
      </c>
      <c r="B114" s="35" t="str">
        <f>INDEX(学习总体!A:A,MATCH(表2[[#This Row],[科目]],学习总体!C:C,0))</f>
        <v>English</v>
      </c>
      <c r="C114" t="s">
        <v>111</v>
      </c>
      <c r="D114" s="51">
        <f t="shared" ca="1" si="8"/>
        <v>101</v>
      </c>
      <c r="E114" s="31">
        <v>3.125E-2</v>
      </c>
    </row>
    <row r="115" spans="1:6" x14ac:dyDescent="0.2">
      <c r="A115" s="49">
        <v>42434</v>
      </c>
      <c r="B115" s="58" t="e">
        <f>INDEX(学习总体!A:A,MATCH(表2[[#This Row],[科目]],学习总体!C:C,0))</f>
        <v>#N/A</v>
      </c>
      <c r="D115" s="51">
        <f t="shared" ca="1" si="8"/>
        <v>23</v>
      </c>
      <c r="F115" s="57"/>
    </row>
    <row r="116" spans="1:6" x14ac:dyDescent="0.2">
      <c r="D116" s="51"/>
    </row>
    <row r="117" spans="1:6" x14ac:dyDescent="0.2">
      <c r="D117" s="51"/>
    </row>
    <row r="118" spans="1:6" x14ac:dyDescent="0.2">
      <c r="D118" s="51"/>
    </row>
    <row r="119" spans="1:6" x14ac:dyDescent="0.2">
      <c r="D119" s="51"/>
    </row>
    <row r="120" spans="1:6" x14ac:dyDescent="0.2">
      <c r="D120" s="51"/>
    </row>
    <row r="121" spans="1:6" x14ac:dyDescent="0.2">
      <c r="D121" s="51"/>
    </row>
    <row r="122" spans="1:6" x14ac:dyDescent="0.2">
      <c r="D122" s="51"/>
    </row>
    <row r="123" spans="1:6" x14ac:dyDescent="0.2">
      <c r="D123" s="51"/>
    </row>
    <row r="124" spans="1:6" x14ac:dyDescent="0.2">
      <c r="D124" s="51"/>
    </row>
    <row r="125" spans="1:6" x14ac:dyDescent="0.2">
      <c r="D125" s="51"/>
    </row>
    <row r="126" spans="1:6" x14ac:dyDescent="0.2">
      <c r="D126" s="51"/>
    </row>
    <row r="127" spans="1:6" x14ac:dyDescent="0.2">
      <c r="D127" s="51"/>
    </row>
    <row r="128" spans="1:6" x14ac:dyDescent="0.2">
      <c r="D128" s="51"/>
    </row>
    <row r="130" spans="1:30" x14ac:dyDescent="0.2">
      <c r="H130" s="47" t="s">
        <v>113</v>
      </c>
      <c r="I130" s="32" t="s">
        <v>114</v>
      </c>
      <c r="J130" s="32"/>
    </row>
    <row r="131" spans="1:30" x14ac:dyDescent="0.2">
      <c r="H131" s="31">
        <f ca="1">SUMIF(D:D,0,E:E)</f>
        <v>0</v>
      </c>
      <c r="I131" s="35" t="str">
        <f ca="1">INDEX(学习总体!C:C,RANDBETWEEN(2,COUNTIF(学习总体!D:D,学习总体!D5)+1))</f>
        <v>Flask官方教程</v>
      </c>
      <c r="J131" s="32"/>
    </row>
    <row r="133" spans="1:30" s="44" customFormat="1" x14ac:dyDescent="0.2">
      <c r="A133" s="48"/>
      <c r="B133" s="42" t="s">
        <v>147</v>
      </c>
      <c r="C133" s="50"/>
      <c r="D133" s="66" t="s">
        <v>29</v>
      </c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 s="45" customFormat="1" x14ac:dyDescent="0.2">
      <c r="A134" s="49"/>
      <c r="B134" s="42" t="s">
        <v>157</v>
      </c>
      <c r="C134" s="46" t="s">
        <v>30</v>
      </c>
      <c r="D134" s="50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 x14ac:dyDescent="0.2">
      <c r="B135" s="58" t="s">
        <v>139</v>
      </c>
      <c r="C135" s="43"/>
      <c r="D135" s="31"/>
      <c r="E135"/>
      <c r="F135"/>
      <c r="G135"/>
      <c r="H135"/>
      <c r="I135"/>
      <c r="J135"/>
      <c r="K135"/>
    </row>
    <row r="136" spans="1:30" x14ac:dyDescent="0.2">
      <c r="B136"/>
      <c r="D136"/>
      <c r="E136"/>
      <c r="F136"/>
      <c r="G136"/>
      <c r="H136"/>
      <c r="I136"/>
      <c r="J136"/>
      <c r="K136"/>
    </row>
    <row r="137" spans="1:30" x14ac:dyDescent="0.2">
      <c r="B137"/>
      <c r="D137"/>
      <c r="E137"/>
      <c r="F137"/>
      <c r="G137"/>
      <c r="H137"/>
      <c r="I137"/>
      <c r="J137"/>
      <c r="K137"/>
    </row>
    <row r="138" spans="1:30" x14ac:dyDescent="0.2">
      <c r="B138"/>
      <c r="D138"/>
      <c r="E138"/>
      <c r="F138"/>
      <c r="G138"/>
      <c r="H138"/>
      <c r="I138"/>
      <c r="J138"/>
      <c r="K138"/>
    </row>
    <row r="139" spans="1:30" x14ac:dyDescent="0.2">
      <c r="B139"/>
      <c r="D139"/>
      <c r="E139"/>
      <c r="F139"/>
      <c r="G139"/>
      <c r="H139"/>
      <c r="I139"/>
      <c r="J139"/>
      <c r="K139"/>
    </row>
    <row r="140" spans="1:30" x14ac:dyDescent="0.2">
      <c r="B140"/>
      <c r="D140"/>
      <c r="E140"/>
      <c r="F140"/>
      <c r="G140"/>
      <c r="H140"/>
      <c r="I140"/>
      <c r="J140"/>
      <c r="K140"/>
    </row>
    <row r="141" spans="1:30" x14ac:dyDescent="0.2">
      <c r="B141"/>
      <c r="D141"/>
      <c r="E141"/>
      <c r="F141"/>
      <c r="G141"/>
      <c r="H141"/>
      <c r="I141"/>
      <c r="J141"/>
      <c r="K141"/>
    </row>
    <row r="142" spans="1:30" x14ac:dyDescent="0.2">
      <c r="B142"/>
      <c r="D142"/>
      <c r="E142"/>
      <c r="F142"/>
      <c r="G142"/>
      <c r="H142"/>
      <c r="I142"/>
      <c r="J142"/>
      <c r="K142"/>
    </row>
    <row r="143" spans="1:30" x14ac:dyDescent="0.2">
      <c r="B143"/>
      <c r="D143"/>
      <c r="E143"/>
      <c r="F143"/>
      <c r="G143"/>
      <c r="H143"/>
      <c r="I143"/>
      <c r="J143"/>
      <c r="K143"/>
    </row>
    <row r="144" spans="1:30" x14ac:dyDescent="0.2">
      <c r="B144"/>
      <c r="D144"/>
      <c r="E144"/>
      <c r="F144"/>
      <c r="G144"/>
      <c r="H144"/>
      <c r="I144"/>
      <c r="J144"/>
      <c r="K144"/>
    </row>
    <row r="145" spans="2:11" x14ac:dyDescent="0.2">
      <c r="B145"/>
      <c r="D145"/>
      <c r="E145"/>
      <c r="F145"/>
      <c r="G145"/>
      <c r="H145"/>
      <c r="I145"/>
      <c r="J145"/>
      <c r="K145"/>
    </row>
    <row r="146" spans="2:11" x14ac:dyDescent="0.2">
      <c r="B146"/>
      <c r="D146"/>
      <c r="E146"/>
      <c r="F146"/>
      <c r="G146"/>
      <c r="H146"/>
      <c r="I146"/>
      <c r="J146"/>
      <c r="K146"/>
    </row>
    <row r="147" spans="2:11" x14ac:dyDescent="0.2">
      <c r="D147" s="37"/>
      <c r="E147"/>
      <c r="F147"/>
      <c r="G147"/>
      <c r="H147"/>
      <c r="I147"/>
      <c r="J147"/>
      <c r="K147"/>
    </row>
    <row r="148" spans="2:11" x14ac:dyDescent="0.2">
      <c r="D148" s="37"/>
      <c r="E148"/>
      <c r="F148"/>
      <c r="G148"/>
      <c r="H148"/>
      <c r="I148"/>
      <c r="J148"/>
      <c r="K148"/>
    </row>
    <row r="149" spans="2:11" x14ac:dyDescent="0.2">
      <c r="D149" s="37"/>
      <c r="E149"/>
      <c r="F149"/>
      <c r="G149"/>
      <c r="H149"/>
      <c r="I149"/>
      <c r="J149"/>
      <c r="K149"/>
    </row>
    <row r="150" spans="2:11" x14ac:dyDescent="0.2">
      <c r="D150" s="37"/>
      <c r="E150"/>
      <c r="F150"/>
      <c r="G150"/>
      <c r="H150"/>
      <c r="I150"/>
      <c r="J150"/>
      <c r="K150"/>
    </row>
    <row r="151" spans="2:11" x14ac:dyDescent="0.2">
      <c r="D151" s="37"/>
      <c r="J151"/>
      <c r="K151"/>
    </row>
    <row r="152" spans="2:11" x14ac:dyDescent="0.2">
      <c r="D152" s="37"/>
      <c r="J152"/>
      <c r="K152"/>
    </row>
    <row r="153" spans="2:11" x14ac:dyDescent="0.2">
      <c r="D153" s="37"/>
      <c r="J153"/>
      <c r="K153"/>
    </row>
    <row r="154" spans="2:11" x14ac:dyDescent="0.2">
      <c r="D154" s="37"/>
      <c r="J154"/>
      <c r="K154"/>
    </row>
    <row r="155" spans="2:11" x14ac:dyDescent="0.2">
      <c r="D155" s="37"/>
      <c r="J155"/>
      <c r="K155"/>
    </row>
    <row r="156" spans="2:11" x14ac:dyDescent="0.2">
      <c r="D156" s="37"/>
      <c r="J156"/>
      <c r="K156"/>
    </row>
    <row r="157" spans="2:11" x14ac:dyDescent="0.2">
      <c r="D157" s="37"/>
      <c r="J157"/>
      <c r="K157"/>
    </row>
    <row r="158" spans="2:11" x14ac:dyDescent="0.2">
      <c r="D158" s="37"/>
      <c r="J158"/>
      <c r="K158"/>
    </row>
    <row r="159" spans="2:11" x14ac:dyDescent="0.2">
      <c r="D159" s="37"/>
    </row>
    <row r="160" spans="2:11" x14ac:dyDescent="0.2">
      <c r="D160" s="37"/>
    </row>
    <row r="161" spans="4:4" x14ac:dyDescent="0.2">
      <c r="D161" s="37"/>
    </row>
    <row r="162" spans="4:4" x14ac:dyDescent="0.2">
      <c r="D162" s="37"/>
    </row>
    <row r="163" spans="4:4" x14ac:dyDescent="0.2">
      <c r="D163" s="37"/>
    </row>
    <row r="164" spans="4:4" x14ac:dyDescent="0.2">
      <c r="D164" s="37"/>
    </row>
    <row r="165" spans="4:4" x14ac:dyDescent="0.2">
      <c r="D165" s="37"/>
    </row>
    <row r="166" spans="4:4" x14ac:dyDescent="0.2">
      <c r="D166" s="37"/>
    </row>
    <row r="167" spans="4:4" x14ac:dyDescent="0.2">
      <c r="D167" s="37"/>
    </row>
    <row r="168" spans="4:4" x14ac:dyDescent="0.2">
      <c r="D168" s="37"/>
    </row>
    <row r="169" spans="4:4" x14ac:dyDescent="0.2">
      <c r="D169" s="37"/>
    </row>
    <row r="170" spans="4:4" x14ac:dyDescent="0.2">
      <c r="D170" s="37"/>
    </row>
    <row r="171" spans="4:4" x14ac:dyDescent="0.2">
      <c r="D171" s="37"/>
    </row>
    <row r="172" spans="4:4" x14ac:dyDescent="0.2">
      <c r="D172" s="37"/>
    </row>
    <row r="173" spans="4:4" x14ac:dyDescent="0.2">
      <c r="D173" s="37"/>
    </row>
    <row r="174" spans="4:4" x14ac:dyDescent="0.2">
      <c r="D174" s="37"/>
    </row>
    <row r="175" spans="4:4" x14ac:dyDescent="0.2">
      <c r="D175" s="37"/>
    </row>
    <row r="176" spans="4:4" x14ac:dyDescent="0.2">
      <c r="D176" s="37"/>
    </row>
    <row r="177" spans="4:4" x14ac:dyDescent="0.2">
      <c r="D177" s="37"/>
    </row>
    <row r="178" spans="4:4" x14ac:dyDescent="0.2">
      <c r="D178" s="37"/>
    </row>
    <row r="179" spans="4:4" x14ac:dyDescent="0.2">
      <c r="D179" s="37"/>
    </row>
    <row r="180" spans="4:4" x14ac:dyDescent="0.2">
      <c r="D180" s="37"/>
    </row>
    <row r="181" spans="4:4" x14ac:dyDescent="0.2">
      <c r="D181" s="37"/>
    </row>
    <row r="182" spans="4:4" x14ac:dyDescent="0.2">
      <c r="D182" s="37"/>
    </row>
    <row r="183" spans="4:4" x14ac:dyDescent="0.2">
      <c r="D183" s="37"/>
    </row>
    <row r="184" spans="4:4" x14ac:dyDescent="0.2">
      <c r="D184" s="37"/>
    </row>
    <row r="185" spans="4:4" x14ac:dyDescent="0.2">
      <c r="D185" s="37"/>
    </row>
    <row r="186" spans="4:4" x14ac:dyDescent="0.2">
      <c r="D186" s="37"/>
    </row>
    <row r="187" spans="4:4" x14ac:dyDescent="0.2">
      <c r="D187" s="37"/>
    </row>
    <row r="188" spans="4:4" x14ac:dyDescent="0.2">
      <c r="D188" s="37"/>
    </row>
    <row r="189" spans="4:4" x14ac:dyDescent="0.2">
      <c r="D189" s="37"/>
    </row>
    <row r="190" spans="4:4" x14ac:dyDescent="0.2">
      <c r="D190" s="37"/>
    </row>
    <row r="191" spans="4:4" x14ac:dyDescent="0.2">
      <c r="D191" s="37"/>
    </row>
    <row r="192" spans="4:4" x14ac:dyDescent="0.2">
      <c r="D192" s="37"/>
    </row>
    <row r="193" spans="4:4" x14ac:dyDescent="0.2">
      <c r="D193" s="37"/>
    </row>
    <row r="194" spans="4:4" x14ac:dyDescent="0.2">
      <c r="D194" s="37"/>
    </row>
    <row r="195" spans="4:4" x14ac:dyDescent="0.2">
      <c r="D195" s="37"/>
    </row>
    <row r="196" spans="4:4" x14ac:dyDescent="0.2">
      <c r="D196" s="37"/>
    </row>
    <row r="197" spans="4:4" x14ac:dyDescent="0.2">
      <c r="D197" s="37"/>
    </row>
    <row r="198" spans="4:4" x14ac:dyDescent="0.2">
      <c r="D198" s="37"/>
    </row>
    <row r="199" spans="4:4" x14ac:dyDescent="0.2">
      <c r="D199" s="37"/>
    </row>
    <row r="200" spans="4:4" x14ac:dyDescent="0.2">
      <c r="D200" s="37"/>
    </row>
    <row r="201" spans="4:4" x14ac:dyDescent="0.2">
      <c r="D201" s="37"/>
    </row>
    <row r="202" spans="4:4" x14ac:dyDescent="0.2">
      <c r="D202" s="37"/>
    </row>
    <row r="203" spans="4:4" x14ac:dyDescent="0.2">
      <c r="D203" s="37"/>
    </row>
    <row r="204" spans="4:4" x14ac:dyDescent="0.2">
      <c r="D204" s="37"/>
    </row>
    <row r="205" spans="4:4" x14ac:dyDescent="0.2">
      <c r="D205" s="37"/>
    </row>
    <row r="206" spans="4:4" x14ac:dyDescent="0.2">
      <c r="D206" s="37"/>
    </row>
    <row r="207" spans="4:4" x14ac:dyDescent="0.2">
      <c r="D207" s="37"/>
    </row>
    <row r="208" spans="4:4" x14ac:dyDescent="0.2">
      <c r="D208" s="37"/>
    </row>
    <row r="209" spans="4:4" x14ac:dyDescent="0.2">
      <c r="D209" s="37"/>
    </row>
    <row r="210" spans="4:4" x14ac:dyDescent="0.2">
      <c r="D210" s="37"/>
    </row>
    <row r="211" spans="4:4" x14ac:dyDescent="0.2">
      <c r="D211" s="37"/>
    </row>
    <row r="212" spans="4:4" x14ac:dyDescent="0.2">
      <c r="D212" s="37"/>
    </row>
  </sheetData>
  <phoneticPr fontId="4" type="noConversion"/>
  <conditionalFormatting sqref="H133:H134 A132:H132 A147:C212 E151:H212 A130:G131 A133:A146 B140:B146 A1:H98 A102 C102:H102 B99:B102 A213:H1048576 A103:H129">
    <cfRule type="expression" dxfId="8" priority="13">
      <formula>$A1=TODAY()-1</formula>
    </cfRule>
    <cfRule type="expression" dxfId="7" priority="14">
      <formula>$A1=TODAY()</formula>
    </cfRule>
  </conditionalFormatting>
  <conditionalFormatting sqref="A99:A101 D99:H101">
    <cfRule type="expression" dxfId="6" priority="5">
      <formula>$A99=TODAY()-1</formula>
    </cfRule>
    <cfRule type="expression" dxfId="5" priority="6">
      <formula>$A99=TODAY()</formula>
    </cfRule>
  </conditionalFormatting>
  <conditionalFormatting sqref="C99:C100">
    <cfRule type="expression" dxfId="4" priority="3">
      <formula>$A99=TODAY()-1</formula>
    </cfRule>
    <cfRule type="expression" dxfId="3" priority="4">
      <formula>$A99=TODAY()</formula>
    </cfRule>
  </conditionalFormatting>
  <conditionalFormatting sqref="C101">
    <cfRule type="expression" dxfId="2" priority="1">
      <formula>$A101=TODAY()-1</formula>
    </cfRule>
    <cfRule type="expression" dxfId="1" priority="2">
      <formula>$A101=TODAY()</formula>
    </cfRule>
  </conditionalFormatting>
  <pageMargins left="0.75" right="0.75" top="1" bottom="1" header="0.51180555555555596" footer="0.51180555555555596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学习总体!$C:$C</xm:f>
          </x14:formula1>
          <xm:sqref>C213:C1048576</xm:sqref>
        </x14:dataValidation>
        <x14:dataValidation type="list" allowBlank="1" showInputMessage="1" showErrorMessage="1">
          <x14:formula1>
            <xm:f>学习总体!$C:$C</xm:f>
          </x14:formula1>
          <xm:sqref>C1:C132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I39"/>
  <sheetViews>
    <sheetView topLeftCell="A6" workbookViewId="0">
      <selection activeCell="G9" sqref="G9"/>
    </sheetView>
  </sheetViews>
  <sheetFormatPr defaultRowHeight="14.25" x14ac:dyDescent="0.2"/>
  <cols>
    <col min="2" max="2" width="17.25" bestFit="1" customWidth="1"/>
    <col min="3" max="3" width="9" style="57"/>
    <col min="5" max="5" width="16.5" customWidth="1"/>
    <col min="6" max="6" width="9.125" bestFit="1" customWidth="1"/>
    <col min="7" max="7" width="17.25" bestFit="1" customWidth="1"/>
    <col min="9" max="9" width="15.125" bestFit="1" customWidth="1"/>
    <col min="10" max="10" width="6.5" customWidth="1"/>
    <col min="11" max="11" width="5.25" customWidth="1"/>
  </cols>
  <sheetData>
    <row r="1" spans="1:9" x14ac:dyDescent="0.2">
      <c r="A1" s="36" t="s">
        <v>128</v>
      </c>
      <c r="B1" s="36" t="s">
        <v>129</v>
      </c>
      <c r="C1" s="57" t="s">
        <v>142</v>
      </c>
    </row>
    <row r="2" spans="1:9" x14ac:dyDescent="0.2">
      <c r="A2" s="36"/>
      <c r="B2" s="36"/>
    </row>
    <row r="3" spans="1:9" x14ac:dyDescent="0.2">
      <c r="A3" s="36"/>
      <c r="B3" s="36" t="s">
        <v>135</v>
      </c>
      <c r="C3" s="57">
        <v>1</v>
      </c>
      <c r="G3" s="36" t="s">
        <v>193</v>
      </c>
    </row>
    <row r="4" spans="1:9" x14ac:dyDescent="0.2">
      <c r="B4" t="s">
        <v>131</v>
      </c>
      <c r="C4" s="57">
        <v>1</v>
      </c>
      <c r="H4" s="36" t="s">
        <v>239</v>
      </c>
      <c r="I4" s="36" t="s">
        <v>230</v>
      </c>
    </row>
    <row r="5" spans="1:9" x14ac:dyDescent="0.2">
      <c r="B5" s="36" t="s">
        <v>183</v>
      </c>
      <c r="C5" s="57">
        <v>1</v>
      </c>
      <c r="F5" s="36" t="s">
        <v>194</v>
      </c>
      <c r="G5" s="36" t="s">
        <v>219</v>
      </c>
      <c r="I5" s="36" t="s">
        <v>231</v>
      </c>
    </row>
    <row r="6" spans="1:9" x14ac:dyDescent="0.2">
      <c r="B6" s="36" t="s">
        <v>185</v>
      </c>
      <c r="C6" s="57">
        <v>1</v>
      </c>
      <c r="G6" s="36" t="s">
        <v>221</v>
      </c>
      <c r="I6" s="36" t="s">
        <v>240</v>
      </c>
    </row>
    <row r="7" spans="1:9" x14ac:dyDescent="0.2">
      <c r="B7" t="s">
        <v>132</v>
      </c>
      <c r="C7" s="57">
        <v>1</v>
      </c>
      <c r="G7" s="36" t="s">
        <v>230</v>
      </c>
      <c r="I7" s="36" t="s">
        <v>223</v>
      </c>
    </row>
    <row r="8" spans="1:9" x14ac:dyDescent="0.2">
      <c r="B8" t="s">
        <v>133</v>
      </c>
      <c r="C8" s="57">
        <v>1</v>
      </c>
      <c r="G8" s="36" t="s">
        <v>231</v>
      </c>
    </row>
    <row r="9" spans="1:9" x14ac:dyDescent="0.2">
      <c r="B9" t="s">
        <v>134</v>
      </c>
      <c r="C9" s="57">
        <v>1</v>
      </c>
      <c r="G9" t="s">
        <v>132</v>
      </c>
    </row>
    <row r="10" spans="1:9" x14ac:dyDescent="0.2">
      <c r="B10" t="s">
        <v>141</v>
      </c>
      <c r="C10" s="57">
        <v>1</v>
      </c>
      <c r="F10" s="36" t="s">
        <v>196</v>
      </c>
      <c r="G10" s="36" t="s">
        <v>223</v>
      </c>
    </row>
    <row r="11" spans="1:9" x14ac:dyDescent="0.2">
      <c r="B11" s="36" t="s">
        <v>168</v>
      </c>
      <c r="C11" s="57">
        <v>1</v>
      </c>
      <c r="G11" s="36" t="s">
        <v>232</v>
      </c>
    </row>
    <row r="12" spans="1:9" x14ac:dyDescent="0.2">
      <c r="B12" s="36" t="s">
        <v>177</v>
      </c>
      <c r="C12" s="57">
        <v>1</v>
      </c>
      <c r="G12" s="36" t="s">
        <v>233</v>
      </c>
    </row>
    <row r="13" spans="1:9" x14ac:dyDescent="0.2">
      <c r="B13" s="36" t="s">
        <v>154</v>
      </c>
      <c r="C13" s="57">
        <v>3</v>
      </c>
      <c r="G13" s="36" t="s">
        <v>234</v>
      </c>
    </row>
    <row r="14" spans="1:9" x14ac:dyDescent="0.2">
      <c r="B14" s="36" t="s">
        <v>178</v>
      </c>
      <c r="C14" s="57">
        <v>1</v>
      </c>
      <c r="G14" s="36" t="s">
        <v>235</v>
      </c>
    </row>
    <row r="15" spans="1:9" x14ac:dyDescent="0.2">
      <c r="B15" s="36" t="s">
        <v>187</v>
      </c>
      <c r="C15" s="57">
        <v>1</v>
      </c>
      <c r="E15" s="37"/>
      <c r="G15" s="36" t="s">
        <v>236</v>
      </c>
    </row>
    <row r="16" spans="1:9" x14ac:dyDescent="0.2">
      <c r="B16" s="36" t="s">
        <v>191</v>
      </c>
      <c r="C16" s="57">
        <v>1</v>
      </c>
      <c r="E16" s="35"/>
      <c r="G16" s="36" t="s">
        <v>237</v>
      </c>
    </row>
    <row r="17" spans="2:7" x14ac:dyDescent="0.2">
      <c r="B17" s="36" t="s">
        <v>197</v>
      </c>
      <c r="C17" s="57">
        <v>1</v>
      </c>
      <c r="E17" s="35"/>
    </row>
    <row r="18" spans="2:7" x14ac:dyDescent="0.2">
      <c r="B18" s="36" t="s">
        <v>199</v>
      </c>
      <c r="C18" s="57">
        <v>1</v>
      </c>
      <c r="E18" s="35"/>
    </row>
    <row r="19" spans="2:7" x14ac:dyDescent="0.2">
      <c r="B19" s="36" t="s">
        <v>200</v>
      </c>
      <c r="C19" s="57">
        <v>1</v>
      </c>
    </row>
    <row r="20" spans="2:7" x14ac:dyDescent="0.2">
      <c r="B20" s="36" t="s">
        <v>202</v>
      </c>
      <c r="C20" s="57">
        <v>1</v>
      </c>
      <c r="F20" s="36" t="s">
        <v>195</v>
      </c>
      <c r="G20" s="36" t="s">
        <v>187</v>
      </c>
    </row>
    <row r="21" spans="2:7" x14ac:dyDescent="0.2">
      <c r="B21" s="36" t="s">
        <v>203</v>
      </c>
      <c r="C21" s="57">
        <v>1</v>
      </c>
      <c r="G21" s="36" t="s">
        <v>191</v>
      </c>
    </row>
    <row r="22" spans="2:7" x14ac:dyDescent="0.2">
      <c r="B22" s="36" t="s">
        <v>206</v>
      </c>
      <c r="G22" s="36" t="s">
        <v>197</v>
      </c>
    </row>
    <row r="23" spans="2:7" x14ac:dyDescent="0.2">
      <c r="B23" s="36" t="s">
        <v>208</v>
      </c>
      <c r="G23" s="36" t="s">
        <v>199</v>
      </c>
    </row>
    <row r="24" spans="2:7" x14ac:dyDescent="0.2">
      <c r="B24" s="36" t="s">
        <v>210</v>
      </c>
      <c r="G24" s="36" t="s">
        <v>200</v>
      </c>
    </row>
    <row r="25" spans="2:7" x14ac:dyDescent="0.2">
      <c r="B25" s="36" t="s">
        <v>212</v>
      </c>
      <c r="F25" s="37"/>
      <c r="G25" s="36" t="s">
        <v>202</v>
      </c>
    </row>
    <row r="26" spans="2:7" x14ac:dyDescent="0.2">
      <c r="B26" s="36" t="s">
        <v>214</v>
      </c>
      <c r="F26" s="37"/>
      <c r="G26" s="36" t="s">
        <v>222</v>
      </c>
    </row>
    <row r="27" spans="2:7" x14ac:dyDescent="0.2">
      <c r="B27" s="36" t="s">
        <v>216</v>
      </c>
      <c r="F27" s="37"/>
    </row>
    <row r="28" spans="2:7" x14ac:dyDescent="0.2">
      <c r="B28" s="36" t="s">
        <v>219</v>
      </c>
      <c r="F28" s="38" t="s">
        <v>204</v>
      </c>
      <c r="G28" s="36" t="s">
        <v>206</v>
      </c>
    </row>
    <row r="29" spans="2:7" x14ac:dyDescent="0.2">
      <c r="B29" s="36" t="s">
        <v>221</v>
      </c>
      <c r="G29" s="36" t="s">
        <v>208</v>
      </c>
    </row>
    <row r="30" spans="2:7" x14ac:dyDescent="0.2">
      <c r="B30" s="36" t="s">
        <v>223</v>
      </c>
      <c r="G30" s="36" t="s">
        <v>210</v>
      </c>
    </row>
    <row r="31" spans="2:7" x14ac:dyDescent="0.2">
      <c r="B31" s="36" t="s">
        <v>230</v>
      </c>
      <c r="G31" s="36" t="s">
        <v>212</v>
      </c>
    </row>
    <row r="32" spans="2:7" x14ac:dyDescent="0.2">
      <c r="B32" s="36" t="s">
        <v>231</v>
      </c>
      <c r="G32" s="36" t="s">
        <v>214</v>
      </c>
    </row>
    <row r="33" spans="2:2" x14ac:dyDescent="0.2">
      <c r="B33" s="36" t="s">
        <v>232</v>
      </c>
    </row>
    <row r="34" spans="2:2" x14ac:dyDescent="0.2">
      <c r="B34" s="36" t="s">
        <v>233</v>
      </c>
    </row>
    <row r="35" spans="2:2" x14ac:dyDescent="0.2">
      <c r="B35" s="36" t="s">
        <v>234</v>
      </c>
    </row>
    <row r="36" spans="2:2" x14ac:dyDescent="0.2">
      <c r="B36" s="36" t="s">
        <v>235</v>
      </c>
    </row>
    <row r="37" spans="2:2" x14ac:dyDescent="0.2">
      <c r="B37" s="36" t="s">
        <v>236</v>
      </c>
    </row>
    <row r="38" spans="2:2" x14ac:dyDescent="0.2">
      <c r="B38" s="36" t="s">
        <v>237</v>
      </c>
    </row>
    <row r="39" spans="2:2" x14ac:dyDescent="0.2">
      <c r="B39" s="36" t="s">
        <v>240</v>
      </c>
    </row>
  </sheetData>
  <sortState ref="A2:C10">
    <sortCondition ref="C2:C10"/>
  </sortState>
  <phoneticPr fontId="10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284"/>
  <sheetViews>
    <sheetView tabSelected="1" topLeftCell="A273" workbookViewId="0">
      <selection activeCell="D288" sqref="D288"/>
    </sheetView>
  </sheetViews>
  <sheetFormatPr defaultRowHeight="14.25" x14ac:dyDescent="0.2"/>
  <cols>
    <col min="1" max="1" width="11.125" style="54" bestFit="1" customWidth="1"/>
    <col min="2" max="2" width="17.25" bestFit="1" customWidth="1"/>
    <col min="3" max="3" width="11" style="37" customWidth="1"/>
    <col min="4" max="4" width="10.25" style="39" customWidth="1"/>
    <col min="5" max="5" width="9" style="55"/>
    <col min="7" max="7" width="16.5" customWidth="1"/>
    <col min="8" max="8" width="15.125" style="64" bestFit="1" customWidth="1"/>
    <col min="9" max="9" width="9.25" bestFit="1" customWidth="1"/>
    <col min="10" max="11" width="9" customWidth="1"/>
    <col min="12" max="13" width="9" bestFit="1" customWidth="1"/>
    <col min="14" max="15" width="9.75" bestFit="1" customWidth="1"/>
    <col min="16" max="16" width="5.75" customWidth="1"/>
  </cols>
  <sheetData>
    <row r="1" spans="1:15" x14ac:dyDescent="0.2">
      <c r="A1" s="53" t="s">
        <v>161</v>
      </c>
      <c r="B1" s="36" t="s">
        <v>129</v>
      </c>
      <c r="C1" s="38" t="s">
        <v>130</v>
      </c>
      <c r="D1" s="39" t="s">
        <v>143</v>
      </c>
      <c r="E1" s="56" t="s">
        <v>169</v>
      </c>
      <c r="F1" s="36" t="s">
        <v>188</v>
      </c>
      <c r="G1" s="37"/>
    </row>
    <row r="2" spans="1:15" x14ac:dyDescent="0.2">
      <c r="A2" s="54">
        <v>42323</v>
      </c>
      <c r="B2" t="s">
        <v>133</v>
      </c>
      <c r="C2" s="64">
        <v>30</v>
      </c>
      <c r="D2" s="39">
        <f t="shared" ref="D2:D33" ca="1" si="0">TODAY()-ROUNDDOWN(A2,0)</f>
        <v>134</v>
      </c>
      <c r="E2" s="55">
        <f>COUNTIFS(A:A,表1[[#This Row],[时间]],B:B,表1[[#This Row],[项目]])</f>
        <v>2</v>
      </c>
      <c r="G2" s="37"/>
    </row>
    <row r="3" spans="1:15" x14ac:dyDescent="0.2">
      <c r="A3" s="54">
        <v>42323</v>
      </c>
      <c r="B3" t="s">
        <v>134</v>
      </c>
      <c r="C3" s="64">
        <v>50</v>
      </c>
      <c r="D3" s="39">
        <f t="shared" ca="1" si="0"/>
        <v>134</v>
      </c>
      <c r="E3" s="55">
        <f>COUNTIFS(A:A,表1[[#This Row],[时间]],B:B,表1[[#This Row],[项目]])</f>
        <v>2</v>
      </c>
      <c r="G3" s="37"/>
    </row>
    <row r="4" spans="1:15" x14ac:dyDescent="0.2">
      <c r="A4" s="54">
        <v>42323</v>
      </c>
      <c r="B4" t="s">
        <v>131</v>
      </c>
      <c r="C4" s="64">
        <v>13</v>
      </c>
      <c r="D4" s="39">
        <f t="shared" ca="1" si="0"/>
        <v>134</v>
      </c>
      <c r="E4" s="55">
        <f>COUNTIFS(A:A,表1[[#This Row],[时间]],B:B,表1[[#This Row],[项目]])</f>
        <v>2</v>
      </c>
      <c r="G4" s="37"/>
    </row>
    <row r="5" spans="1:15" x14ac:dyDescent="0.2">
      <c r="A5" s="54">
        <v>42323</v>
      </c>
      <c r="B5" t="s">
        <v>132</v>
      </c>
      <c r="C5" s="64">
        <v>10</v>
      </c>
      <c r="D5" s="39">
        <f t="shared" ca="1" si="0"/>
        <v>134</v>
      </c>
      <c r="E5" s="55">
        <f>COUNTIFS(A:A,表1[[#This Row],[时间]],B:B,表1[[#This Row],[项目]])</f>
        <v>2</v>
      </c>
      <c r="G5" s="37"/>
    </row>
    <row r="6" spans="1:15" x14ac:dyDescent="0.2">
      <c r="A6" s="54">
        <v>42323</v>
      </c>
      <c r="B6" t="s">
        <v>133</v>
      </c>
      <c r="C6" s="64">
        <v>30</v>
      </c>
      <c r="D6" s="39">
        <f t="shared" ca="1" si="0"/>
        <v>134</v>
      </c>
      <c r="E6" s="55">
        <f>COUNTIFS(A:A,表1[[#This Row],[时间]],B:B,表1[[#This Row],[项目]])</f>
        <v>2</v>
      </c>
      <c r="G6" s="37"/>
    </row>
    <row r="7" spans="1:15" x14ac:dyDescent="0.2">
      <c r="A7" s="54">
        <v>42323</v>
      </c>
      <c r="B7" t="s">
        <v>134</v>
      </c>
      <c r="C7" s="64">
        <v>45</v>
      </c>
      <c r="D7" s="39">
        <f t="shared" ca="1" si="0"/>
        <v>134</v>
      </c>
      <c r="E7" s="55">
        <f>COUNTIFS(A:A,表1[[#This Row],[时间]],B:B,表1[[#This Row],[项目]])</f>
        <v>2</v>
      </c>
      <c r="G7" s="37"/>
    </row>
    <row r="8" spans="1:15" x14ac:dyDescent="0.2">
      <c r="A8" s="54">
        <v>42323</v>
      </c>
      <c r="B8" t="s">
        <v>131</v>
      </c>
      <c r="C8" s="64">
        <v>20</v>
      </c>
      <c r="D8" s="39">
        <f t="shared" ca="1" si="0"/>
        <v>134</v>
      </c>
      <c r="E8" s="55">
        <f>COUNTIFS(A:A,表1[[#This Row],[时间]],B:B,表1[[#This Row],[项目]])</f>
        <v>2</v>
      </c>
      <c r="G8" s="37"/>
    </row>
    <row r="9" spans="1:15" x14ac:dyDescent="0.2">
      <c r="A9" s="54">
        <v>42323</v>
      </c>
      <c r="B9" t="s">
        <v>132</v>
      </c>
      <c r="C9" s="64">
        <v>15</v>
      </c>
      <c r="D9" s="39">
        <f t="shared" ca="1" si="0"/>
        <v>134</v>
      </c>
      <c r="E9" s="55">
        <f>COUNTIFS(A:A,表1[[#This Row],[时间]],B:B,表1[[#This Row],[项目]])</f>
        <v>2</v>
      </c>
      <c r="G9" s="37"/>
    </row>
    <row r="10" spans="1:15" x14ac:dyDescent="0.2">
      <c r="A10" s="54">
        <v>42325</v>
      </c>
      <c r="B10" t="s">
        <v>132</v>
      </c>
      <c r="C10" s="64">
        <v>20</v>
      </c>
      <c r="D10" s="39">
        <f t="shared" ca="1" si="0"/>
        <v>132</v>
      </c>
      <c r="E10" s="55">
        <f>COUNTIFS(A:A,表1[[#This Row],[时间]],B:B,表1[[#This Row],[项目]])</f>
        <v>3</v>
      </c>
      <c r="G10" s="37"/>
    </row>
    <row r="11" spans="1:15" x14ac:dyDescent="0.2">
      <c r="A11" s="54">
        <v>42325</v>
      </c>
      <c r="B11" t="s">
        <v>132</v>
      </c>
      <c r="C11" s="64">
        <v>15</v>
      </c>
      <c r="D11" s="39">
        <f t="shared" ca="1" si="0"/>
        <v>132</v>
      </c>
      <c r="E11" s="55">
        <f>COUNTIFS(A:A,表1[[#This Row],[时间]],B:B,表1[[#This Row],[项目]])</f>
        <v>3</v>
      </c>
      <c r="G11" s="37"/>
    </row>
    <row r="12" spans="1:15" x14ac:dyDescent="0.2">
      <c r="A12" s="54">
        <v>42325</v>
      </c>
      <c r="B12" t="s">
        <v>134</v>
      </c>
      <c r="C12" s="64">
        <v>35</v>
      </c>
      <c r="D12" s="39">
        <f t="shared" ca="1" si="0"/>
        <v>132</v>
      </c>
      <c r="E12" s="55">
        <f>COUNTIFS(A:A,表1[[#This Row],[时间]],B:B,表1[[#This Row],[项目]])</f>
        <v>1</v>
      </c>
      <c r="G12" s="37"/>
    </row>
    <row r="13" spans="1:15" x14ac:dyDescent="0.2">
      <c r="A13" s="54">
        <v>42325</v>
      </c>
      <c r="B13" t="s">
        <v>131</v>
      </c>
      <c r="C13" s="64">
        <v>20</v>
      </c>
      <c r="D13" s="39">
        <f t="shared" ca="1" si="0"/>
        <v>132</v>
      </c>
      <c r="E13" s="55">
        <f>COUNTIFS(A:A,表1[[#This Row],[时间]],B:B,表1[[#This Row],[项目]])</f>
        <v>1</v>
      </c>
      <c r="G13" s="37"/>
    </row>
    <row r="14" spans="1:15" x14ac:dyDescent="0.2">
      <c r="A14" s="54">
        <v>42325</v>
      </c>
      <c r="B14" t="s">
        <v>132</v>
      </c>
      <c r="C14" s="64">
        <v>15</v>
      </c>
      <c r="D14" s="39">
        <f t="shared" ca="1" si="0"/>
        <v>132</v>
      </c>
      <c r="E14" s="55">
        <f>COUNTIFS(A:A,表1[[#This Row],[时间]],B:B,表1[[#This Row],[项目]])</f>
        <v>3</v>
      </c>
      <c r="G14" s="37"/>
    </row>
    <row r="15" spans="1:15" x14ac:dyDescent="0.2">
      <c r="A15" s="54">
        <v>42325</v>
      </c>
      <c r="B15" t="s">
        <v>133</v>
      </c>
      <c r="C15" s="64">
        <v>35</v>
      </c>
      <c r="D15" s="39">
        <f t="shared" ca="1" si="0"/>
        <v>132</v>
      </c>
      <c r="E15" s="55">
        <f>COUNTIFS(A:A,表1[[#This Row],[时间]],B:B,表1[[#This Row],[项目]])</f>
        <v>1</v>
      </c>
      <c r="G15" s="37"/>
      <c r="J15" s="37"/>
      <c r="K15" s="37"/>
      <c r="L15" s="37"/>
      <c r="M15" s="37"/>
      <c r="N15" s="37"/>
      <c r="O15" s="37"/>
    </row>
    <row r="16" spans="1:15" x14ac:dyDescent="0.2">
      <c r="A16" s="54">
        <v>42326</v>
      </c>
      <c r="B16" t="s">
        <v>151</v>
      </c>
      <c r="C16" s="64">
        <v>1</v>
      </c>
      <c r="D16" s="39">
        <f t="shared" ca="1" si="0"/>
        <v>131</v>
      </c>
      <c r="E16" s="55">
        <f>COUNTIFS(A:A,表1[[#This Row],[时间]],B:B,表1[[#This Row],[项目]])</f>
        <v>1</v>
      </c>
      <c r="G16" s="37"/>
      <c r="J16" s="37"/>
      <c r="K16" s="37"/>
      <c r="L16" s="37"/>
      <c r="M16" s="37"/>
      <c r="N16" s="37"/>
      <c r="O16" s="37"/>
    </row>
    <row r="17" spans="1:15" x14ac:dyDescent="0.2">
      <c r="A17" s="54">
        <v>42327</v>
      </c>
      <c r="B17" t="s">
        <v>151</v>
      </c>
      <c r="C17" s="64">
        <v>1</v>
      </c>
      <c r="D17" s="39">
        <f t="shared" ca="1" si="0"/>
        <v>130</v>
      </c>
      <c r="E17" s="55">
        <f>COUNTIFS(A:A,表1[[#This Row],[时间]],B:B,表1[[#This Row],[项目]])</f>
        <v>1</v>
      </c>
      <c r="G17" s="37"/>
      <c r="J17" s="35"/>
      <c r="K17" s="37"/>
      <c r="L17" s="37"/>
      <c r="M17" s="37"/>
      <c r="N17" s="37"/>
      <c r="O17" s="37"/>
    </row>
    <row r="18" spans="1:15" x14ac:dyDescent="0.2">
      <c r="A18" s="54">
        <v>42327</v>
      </c>
      <c r="B18" t="s">
        <v>132</v>
      </c>
      <c r="C18" s="64">
        <v>15</v>
      </c>
      <c r="D18" s="39">
        <f t="shared" ca="1" si="0"/>
        <v>130</v>
      </c>
      <c r="E18" s="55">
        <f>COUNTIFS(A:A,表1[[#This Row],[时间]],B:B,表1[[#This Row],[项目]])</f>
        <v>1</v>
      </c>
      <c r="G18" s="37"/>
      <c r="M18" s="37"/>
      <c r="N18" s="37"/>
      <c r="O18" s="37"/>
    </row>
    <row r="19" spans="1:15" x14ac:dyDescent="0.2">
      <c r="A19" s="54">
        <v>42328</v>
      </c>
      <c r="B19" t="s">
        <v>132</v>
      </c>
      <c r="C19" s="64">
        <v>10</v>
      </c>
      <c r="D19" s="39">
        <f t="shared" ca="1" si="0"/>
        <v>129</v>
      </c>
      <c r="E19" s="55">
        <f>COUNTIFS(A:A,表1[[#This Row],[时间]],B:B,表1[[#This Row],[项目]])</f>
        <v>3</v>
      </c>
      <c r="G19" s="37"/>
    </row>
    <row r="20" spans="1:15" x14ac:dyDescent="0.2">
      <c r="A20" s="54">
        <v>42328</v>
      </c>
      <c r="B20" t="s">
        <v>132</v>
      </c>
      <c r="C20" s="64">
        <v>15</v>
      </c>
      <c r="D20" s="39">
        <f t="shared" ca="1" si="0"/>
        <v>129</v>
      </c>
      <c r="E20" s="55">
        <f>COUNTIFS(A:A,表1[[#This Row],[时间]],B:B,表1[[#This Row],[项目]])</f>
        <v>3</v>
      </c>
      <c r="G20" s="37"/>
    </row>
    <row r="21" spans="1:15" x14ac:dyDescent="0.2">
      <c r="A21" s="54">
        <v>42328</v>
      </c>
      <c r="B21" t="s">
        <v>132</v>
      </c>
      <c r="C21" s="64">
        <v>16</v>
      </c>
      <c r="D21" s="39">
        <f t="shared" ca="1" si="0"/>
        <v>129</v>
      </c>
      <c r="E21" s="55">
        <f>COUNTIFS(A:A,表1[[#This Row],[时间]],B:B,表1[[#This Row],[项目]])</f>
        <v>3</v>
      </c>
      <c r="G21" s="37"/>
    </row>
    <row r="22" spans="1:15" x14ac:dyDescent="0.2">
      <c r="A22" s="54">
        <v>42330</v>
      </c>
      <c r="B22" t="s">
        <v>153</v>
      </c>
      <c r="C22" s="64">
        <v>10</v>
      </c>
      <c r="D22" s="39">
        <f t="shared" ca="1" si="0"/>
        <v>127</v>
      </c>
      <c r="E22" s="55">
        <f>COUNTIFS(A:A,表1[[#This Row],[时间]],B:B,表1[[#This Row],[项目]])</f>
        <v>5</v>
      </c>
      <c r="G22" s="37"/>
    </row>
    <row r="23" spans="1:15" x14ac:dyDescent="0.2">
      <c r="A23" s="54">
        <v>42330</v>
      </c>
      <c r="B23" t="s">
        <v>153</v>
      </c>
      <c r="C23" s="64">
        <v>10</v>
      </c>
      <c r="D23" s="39">
        <f t="shared" ca="1" si="0"/>
        <v>127</v>
      </c>
      <c r="E23" s="55">
        <f>COUNTIFS(A:A,表1[[#This Row],[时间]],B:B,表1[[#This Row],[项目]])</f>
        <v>5</v>
      </c>
      <c r="G23" s="37"/>
    </row>
    <row r="24" spans="1:15" x14ac:dyDescent="0.2">
      <c r="A24" s="54">
        <v>42330</v>
      </c>
      <c r="B24" t="s">
        <v>153</v>
      </c>
      <c r="C24" s="64">
        <v>10</v>
      </c>
      <c r="D24" s="39">
        <f t="shared" ca="1" si="0"/>
        <v>127</v>
      </c>
      <c r="E24" s="55">
        <f>COUNTIFS(A:A,表1[[#This Row],[时间]],B:B,表1[[#This Row],[项目]])</f>
        <v>5</v>
      </c>
      <c r="G24" s="37"/>
    </row>
    <row r="25" spans="1:15" x14ac:dyDescent="0.2">
      <c r="A25" s="54">
        <v>42330</v>
      </c>
      <c r="B25" t="s">
        <v>153</v>
      </c>
      <c r="C25" s="64">
        <v>10</v>
      </c>
      <c r="D25" s="39">
        <f t="shared" ca="1" si="0"/>
        <v>127</v>
      </c>
      <c r="E25" s="55">
        <f>COUNTIFS(A:A,表1[[#This Row],[时间]],B:B,表1[[#This Row],[项目]])</f>
        <v>5</v>
      </c>
    </row>
    <row r="26" spans="1:15" x14ac:dyDescent="0.2">
      <c r="A26" s="54">
        <v>42330</v>
      </c>
      <c r="B26" t="s">
        <v>153</v>
      </c>
      <c r="C26" s="64">
        <v>10</v>
      </c>
      <c r="D26" s="39">
        <f t="shared" ca="1" si="0"/>
        <v>127</v>
      </c>
      <c r="E26" s="55">
        <f>COUNTIFS(A:A,表1[[#This Row],[时间]],B:B,表1[[#This Row],[项目]])</f>
        <v>5</v>
      </c>
      <c r="G26" s="37"/>
    </row>
    <row r="27" spans="1:15" x14ac:dyDescent="0.2">
      <c r="A27" s="54">
        <v>42331</v>
      </c>
      <c r="B27" t="s">
        <v>151</v>
      </c>
      <c r="C27" s="64">
        <v>1</v>
      </c>
      <c r="D27" s="39">
        <f t="shared" ca="1" si="0"/>
        <v>126</v>
      </c>
      <c r="E27" s="55">
        <f>COUNTIFS(A:A,表1[[#This Row],[时间]],B:B,表1[[#This Row],[项目]])</f>
        <v>1</v>
      </c>
      <c r="G27" s="37"/>
    </row>
    <row r="28" spans="1:15" x14ac:dyDescent="0.2">
      <c r="A28" s="54">
        <v>42331</v>
      </c>
      <c r="B28" t="s">
        <v>132</v>
      </c>
      <c r="C28" s="64">
        <v>17</v>
      </c>
      <c r="D28" s="39">
        <f t="shared" ca="1" si="0"/>
        <v>126</v>
      </c>
      <c r="E28" s="55">
        <f>COUNTIFS(A:A,表1[[#This Row],[时间]],B:B,表1[[#This Row],[项目]])</f>
        <v>1</v>
      </c>
      <c r="G28" s="37"/>
    </row>
    <row r="29" spans="1:15" x14ac:dyDescent="0.2">
      <c r="A29" s="54">
        <v>42331</v>
      </c>
      <c r="B29" t="s">
        <v>153</v>
      </c>
      <c r="C29" s="64">
        <v>20</v>
      </c>
      <c r="D29" s="39">
        <f t="shared" ca="1" si="0"/>
        <v>126</v>
      </c>
      <c r="E29" s="55">
        <f>COUNTIFS(A:A,表1[[#This Row],[时间]],B:B,表1[[#This Row],[项目]])</f>
        <v>1</v>
      </c>
      <c r="G29" s="37"/>
    </row>
    <row r="30" spans="1:15" x14ac:dyDescent="0.2">
      <c r="A30" s="54">
        <v>42332</v>
      </c>
      <c r="B30" t="s">
        <v>153</v>
      </c>
      <c r="C30" s="64">
        <v>10</v>
      </c>
      <c r="D30" s="39">
        <f t="shared" ca="1" si="0"/>
        <v>125</v>
      </c>
      <c r="E30" s="55">
        <f>COUNTIFS(A:A,表1[[#This Row],[时间]],B:B,表1[[#This Row],[项目]])</f>
        <v>1</v>
      </c>
      <c r="G30" s="37"/>
    </row>
    <row r="31" spans="1:15" x14ac:dyDescent="0.2">
      <c r="A31" s="54">
        <v>42332</v>
      </c>
      <c r="B31" t="s">
        <v>132</v>
      </c>
      <c r="C31" s="64">
        <v>15</v>
      </c>
      <c r="D31" s="39">
        <f t="shared" ca="1" si="0"/>
        <v>125</v>
      </c>
      <c r="E31" s="55">
        <f>COUNTIFS(A:A,表1[[#This Row],[时间]],B:B,表1[[#This Row],[项目]])</f>
        <v>2</v>
      </c>
      <c r="G31" s="37"/>
    </row>
    <row r="32" spans="1:15" x14ac:dyDescent="0.2">
      <c r="A32" s="54">
        <v>42332</v>
      </c>
      <c r="B32" t="s">
        <v>132</v>
      </c>
      <c r="C32" s="64">
        <v>18</v>
      </c>
      <c r="D32" s="39">
        <f t="shared" ca="1" si="0"/>
        <v>125</v>
      </c>
      <c r="E32" s="55">
        <f>COUNTIFS(A:A,表1[[#This Row],[时间]],B:B,表1[[#This Row],[项目]])</f>
        <v>2</v>
      </c>
      <c r="G32" s="37"/>
    </row>
    <row r="33" spans="1:7" x14ac:dyDescent="0.2">
      <c r="A33" s="54">
        <v>42333</v>
      </c>
      <c r="B33" t="s">
        <v>132</v>
      </c>
      <c r="C33" s="64">
        <v>15</v>
      </c>
      <c r="D33" s="39">
        <f t="shared" ca="1" si="0"/>
        <v>124</v>
      </c>
      <c r="E33" s="55">
        <f>COUNTIFS(A:A,表1[[#This Row],[时间]],B:B,表1[[#This Row],[项目]])</f>
        <v>1</v>
      </c>
      <c r="G33" s="37"/>
    </row>
    <row r="34" spans="1:7" x14ac:dyDescent="0.2">
      <c r="A34" s="54">
        <v>42335</v>
      </c>
      <c r="B34" t="s">
        <v>134</v>
      </c>
      <c r="C34" s="64">
        <v>30</v>
      </c>
      <c r="D34" s="39">
        <f t="shared" ref="D34:D52" ca="1" si="1">TODAY()-ROUNDDOWN(A34,0)</f>
        <v>122</v>
      </c>
      <c r="E34" s="55">
        <f>COUNTIFS(A:A,表1[[#This Row],[时间]],B:B,表1[[#This Row],[项目]])</f>
        <v>2</v>
      </c>
      <c r="G34" s="37"/>
    </row>
    <row r="35" spans="1:7" x14ac:dyDescent="0.2">
      <c r="A35" s="54">
        <v>42335</v>
      </c>
      <c r="B35" t="s">
        <v>133</v>
      </c>
      <c r="C35" s="64">
        <v>40</v>
      </c>
      <c r="D35" s="39">
        <f t="shared" ca="1" si="1"/>
        <v>122</v>
      </c>
      <c r="E35" s="55">
        <f>COUNTIFS(A:A,表1[[#This Row],[时间]],B:B,表1[[#This Row],[项目]])</f>
        <v>2</v>
      </c>
    </row>
    <row r="36" spans="1:7" x14ac:dyDescent="0.2">
      <c r="A36" s="54">
        <v>42335</v>
      </c>
      <c r="B36" t="s">
        <v>155</v>
      </c>
      <c r="C36" s="64">
        <v>60</v>
      </c>
      <c r="D36" s="39">
        <f t="shared" ca="1" si="1"/>
        <v>122</v>
      </c>
      <c r="E36" s="55">
        <f>COUNTIFS(A:A,表1[[#This Row],[时间]],B:B,表1[[#This Row],[项目]])</f>
        <v>1</v>
      </c>
      <c r="G36" s="37"/>
    </row>
    <row r="37" spans="1:7" x14ac:dyDescent="0.2">
      <c r="A37" s="54">
        <v>42335</v>
      </c>
      <c r="B37" t="s">
        <v>132</v>
      </c>
      <c r="C37" s="64">
        <v>15</v>
      </c>
      <c r="D37" s="39">
        <f t="shared" ca="1" si="1"/>
        <v>122</v>
      </c>
      <c r="E37" s="55">
        <f>COUNTIFS(A:A,表1[[#This Row],[时间]],B:B,表1[[#This Row],[项目]])</f>
        <v>1</v>
      </c>
      <c r="G37" s="37"/>
    </row>
    <row r="38" spans="1:7" x14ac:dyDescent="0.2">
      <c r="A38" s="54">
        <v>42335</v>
      </c>
      <c r="B38" t="s">
        <v>134</v>
      </c>
      <c r="C38" s="64">
        <v>40</v>
      </c>
      <c r="D38" s="39">
        <f t="shared" ca="1" si="1"/>
        <v>122</v>
      </c>
      <c r="E38" s="55">
        <f>COUNTIFS(A:A,表1[[#This Row],[时间]],B:B,表1[[#This Row],[项目]])</f>
        <v>2</v>
      </c>
      <c r="G38" s="37"/>
    </row>
    <row r="39" spans="1:7" x14ac:dyDescent="0.2">
      <c r="A39" s="54">
        <v>42335</v>
      </c>
      <c r="B39" t="s">
        <v>133</v>
      </c>
      <c r="C39" s="64">
        <v>40</v>
      </c>
      <c r="D39" s="39">
        <f t="shared" ca="1" si="1"/>
        <v>122</v>
      </c>
      <c r="E39" s="55">
        <f>COUNTIFS(A:A,表1[[#This Row],[时间]],B:B,表1[[#This Row],[项目]])</f>
        <v>2</v>
      </c>
      <c r="G39" s="37"/>
    </row>
    <row r="40" spans="1:7" x14ac:dyDescent="0.2">
      <c r="A40" s="54">
        <v>42336</v>
      </c>
      <c r="B40" t="s">
        <v>133</v>
      </c>
      <c r="C40" s="64">
        <v>30</v>
      </c>
      <c r="D40" s="39">
        <f t="shared" ca="1" si="1"/>
        <v>121</v>
      </c>
      <c r="E40" s="55">
        <f>COUNTIFS(A:A,表1[[#This Row],[时间]],B:B,表1[[#This Row],[项目]])</f>
        <v>1</v>
      </c>
    </row>
    <row r="41" spans="1:7" x14ac:dyDescent="0.2">
      <c r="A41" s="54">
        <v>42336</v>
      </c>
      <c r="B41" t="s">
        <v>134</v>
      </c>
      <c r="C41" s="64">
        <v>35</v>
      </c>
      <c r="D41" s="39">
        <f t="shared" ca="1" si="1"/>
        <v>121</v>
      </c>
      <c r="E41" s="55">
        <f>COUNTIFS(A:A,表1[[#This Row],[时间]],B:B,表1[[#This Row],[项目]])</f>
        <v>1</v>
      </c>
    </row>
    <row r="42" spans="1:7" x14ac:dyDescent="0.2">
      <c r="A42" s="54">
        <v>42338</v>
      </c>
      <c r="B42" t="s">
        <v>132</v>
      </c>
      <c r="C42" s="64">
        <v>15</v>
      </c>
      <c r="D42" s="39">
        <f t="shared" ca="1" si="1"/>
        <v>119</v>
      </c>
      <c r="E42" s="55">
        <f>COUNTIFS(A:A,表1[[#This Row],[时间]],B:B,表1[[#This Row],[项目]])</f>
        <v>2</v>
      </c>
    </row>
    <row r="43" spans="1:7" ht="13.5" customHeight="1" x14ac:dyDescent="0.2">
      <c r="A43" s="54">
        <v>42338</v>
      </c>
      <c r="B43" t="s">
        <v>132</v>
      </c>
      <c r="C43" s="64">
        <v>20</v>
      </c>
      <c r="D43" s="39">
        <f t="shared" ca="1" si="1"/>
        <v>119</v>
      </c>
      <c r="E43" s="55">
        <f>COUNTIFS(A:A,表1[[#This Row],[时间]],B:B,表1[[#This Row],[项目]])</f>
        <v>2</v>
      </c>
    </row>
    <row r="44" spans="1:7" x14ac:dyDescent="0.2">
      <c r="A44" s="54">
        <v>42346</v>
      </c>
      <c r="B44" t="s">
        <v>132</v>
      </c>
      <c r="C44" s="64">
        <v>13</v>
      </c>
      <c r="D44" s="39">
        <f t="shared" ca="1" si="1"/>
        <v>111</v>
      </c>
      <c r="E44" s="55">
        <f>COUNTIFS(A:A,表1[[#This Row],[时间]],B:B,表1[[#This Row],[项目]])</f>
        <v>2</v>
      </c>
    </row>
    <row r="45" spans="1:7" x14ac:dyDescent="0.2">
      <c r="A45" s="54">
        <v>42346</v>
      </c>
      <c r="B45" t="s">
        <v>133</v>
      </c>
      <c r="C45" s="64">
        <v>30</v>
      </c>
      <c r="D45" s="39">
        <f t="shared" ca="1" si="1"/>
        <v>111</v>
      </c>
      <c r="E45" s="55">
        <f>COUNTIFS(A:A,表1[[#This Row],[时间]],B:B,表1[[#This Row],[项目]])</f>
        <v>2</v>
      </c>
    </row>
    <row r="46" spans="1:7" x14ac:dyDescent="0.2">
      <c r="A46" s="54">
        <v>42346</v>
      </c>
      <c r="B46" t="s">
        <v>134</v>
      </c>
      <c r="C46" s="64">
        <v>40</v>
      </c>
      <c r="D46" s="39">
        <f t="shared" ca="1" si="1"/>
        <v>111</v>
      </c>
      <c r="E46" s="55">
        <f>COUNTIFS(A:A,表1[[#This Row],[时间]],B:B,表1[[#This Row],[项目]])</f>
        <v>2</v>
      </c>
    </row>
    <row r="47" spans="1:7" x14ac:dyDescent="0.2">
      <c r="A47" s="54">
        <v>42346</v>
      </c>
      <c r="B47" t="s">
        <v>131</v>
      </c>
      <c r="C47" s="64">
        <v>15</v>
      </c>
      <c r="D47" s="39">
        <f t="shared" ca="1" si="1"/>
        <v>111</v>
      </c>
      <c r="E47" s="55">
        <f>COUNTIFS(A:A,表1[[#This Row],[时间]],B:B,表1[[#This Row],[项目]])</f>
        <v>1</v>
      </c>
    </row>
    <row r="48" spans="1:7" x14ac:dyDescent="0.2">
      <c r="A48" s="54">
        <v>42346</v>
      </c>
      <c r="B48" t="s">
        <v>155</v>
      </c>
      <c r="C48" s="64">
        <v>60</v>
      </c>
      <c r="D48" s="39">
        <f t="shared" ca="1" si="1"/>
        <v>111</v>
      </c>
      <c r="E48" s="55">
        <f>COUNTIFS(A:A,表1[[#This Row],[时间]],B:B,表1[[#This Row],[项目]])</f>
        <v>2</v>
      </c>
    </row>
    <row r="49" spans="1:5" x14ac:dyDescent="0.2">
      <c r="A49" s="54">
        <v>42346</v>
      </c>
      <c r="B49" t="s">
        <v>134</v>
      </c>
      <c r="C49" s="64">
        <v>41</v>
      </c>
      <c r="D49" s="39">
        <f t="shared" ca="1" si="1"/>
        <v>111</v>
      </c>
      <c r="E49" s="55">
        <f>COUNTIFS(A:A,表1[[#This Row],[时间]],B:B,表1[[#This Row],[项目]])</f>
        <v>2</v>
      </c>
    </row>
    <row r="50" spans="1:5" x14ac:dyDescent="0.2">
      <c r="A50" s="54">
        <v>42346</v>
      </c>
      <c r="B50" t="s">
        <v>132</v>
      </c>
      <c r="C50" s="64">
        <v>10</v>
      </c>
      <c r="D50" s="39">
        <f t="shared" ca="1" si="1"/>
        <v>111</v>
      </c>
      <c r="E50" s="55">
        <f>COUNTIFS(A:A,表1[[#This Row],[时间]],B:B,表1[[#This Row],[项目]])</f>
        <v>2</v>
      </c>
    </row>
    <row r="51" spans="1:5" x14ac:dyDescent="0.2">
      <c r="A51" s="54">
        <v>42346</v>
      </c>
      <c r="B51" t="s">
        <v>133</v>
      </c>
      <c r="C51" s="64">
        <v>30</v>
      </c>
      <c r="D51" s="39">
        <f t="shared" ca="1" si="1"/>
        <v>111</v>
      </c>
      <c r="E51" s="55">
        <f>COUNTIFS(A:A,表1[[#This Row],[时间]],B:B,表1[[#This Row],[项目]])</f>
        <v>2</v>
      </c>
    </row>
    <row r="52" spans="1:5" x14ac:dyDescent="0.2">
      <c r="A52" s="54">
        <v>42346</v>
      </c>
      <c r="B52" t="s">
        <v>155</v>
      </c>
      <c r="C52" s="64">
        <v>60</v>
      </c>
      <c r="D52" s="39">
        <f t="shared" ca="1" si="1"/>
        <v>111</v>
      </c>
      <c r="E52" s="55">
        <f>COUNTIFS(A:A,表1[[#This Row],[时间]],B:B,表1[[#This Row],[项目]])</f>
        <v>2</v>
      </c>
    </row>
    <row r="53" spans="1:5" x14ac:dyDescent="0.2">
      <c r="A53" s="54">
        <v>42353</v>
      </c>
      <c r="B53" t="s">
        <v>132</v>
      </c>
      <c r="C53" s="64">
        <v>13</v>
      </c>
      <c r="D53" s="39">
        <f t="shared" ref="D53:D60" ca="1" si="2">TODAY()-ROUNDDOWN(A53,0)</f>
        <v>104</v>
      </c>
      <c r="E53" s="55">
        <f>COUNTIFS(A:A,表1[[#This Row],[时间]],B:B,表1[[#This Row],[项目]])</f>
        <v>2</v>
      </c>
    </row>
    <row r="54" spans="1:5" x14ac:dyDescent="0.2">
      <c r="A54" s="54">
        <v>42353</v>
      </c>
      <c r="B54" t="s">
        <v>134</v>
      </c>
      <c r="C54" s="64">
        <v>40</v>
      </c>
      <c r="D54" s="39">
        <f t="shared" ca="1" si="2"/>
        <v>104</v>
      </c>
      <c r="E54" s="55">
        <f>COUNTIFS(A:A,表1[[#This Row],[时间]],B:B,表1[[#This Row],[项目]])</f>
        <v>2</v>
      </c>
    </row>
    <row r="55" spans="1:5" x14ac:dyDescent="0.2">
      <c r="A55" s="54">
        <v>42353</v>
      </c>
      <c r="B55" t="s">
        <v>131</v>
      </c>
      <c r="C55" s="64">
        <v>15</v>
      </c>
      <c r="D55" s="39">
        <f t="shared" ca="1" si="2"/>
        <v>104</v>
      </c>
      <c r="E55" s="55">
        <f>COUNTIFS(A:A,表1[[#This Row],[时间]],B:B,表1[[#This Row],[项目]])</f>
        <v>2</v>
      </c>
    </row>
    <row r="56" spans="1:5" x14ac:dyDescent="0.2">
      <c r="A56" s="54">
        <v>42353</v>
      </c>
      <c r="B56" t="s">
        <v>133</v>
      </c>
      <c r="C56" s="64">
        <v>30</v>
      </c>
      <c r="D56" s="39">
        <f t="shared" ca="1" si="2"/>
        <v>104</v>
      </c>
      <c r="E56" s="55">
        <f>COUNTIFS(A:A,表1[[#This Row],[时间]],B:B,表1[[#This Row],[项目]])</f>
        <v>2</v>
      </c>
    </row>
    <row r="57" spans="1:5" x14ac:dyDescent="0.2">
      <c r="A57" s="54">
        <v>42353</v>
      </c>
      <c r="B57" t="s">
        <v>132</v>
      </c>
      <c r="C57" s="64">
        <v>15</v>
      </c>
      <c r="D57" s="39">
        <f t="shared" ca="1" si="2"/>
        <v>104</v>
      </c>
      <c r="E57" s="55">
        <f>COUNTIFS(A:A,表1[[#This Row],[时间]],B:B,表1[[#This Row],[项目]])</f>
        <v>2</v>
      </c>
    </row>
    <row r="58" spans="1:5" x14ac:dyDescent="0.2">
      <c r="A58" s="54">
        <v>42353</v>
      </c>
      <c r="B58" t="s">
        <v>134</v>
      </c>
      <c r="C58" s="64">
        <v>35</v>
      </c>
      <c r="D58" s="39">
        <f t="shared" ca="1" si="2"/>
        <v>104</v>
      </c>
      <c r="E58" s="55">
        <f>COUNTIFS(A:A,表1[[#This Row],[时间]],B:B,表1[[#This Row],[项目]])</f>
        <v>2</v>
      </c>
    </row>
    <row r="59" spans="1:5" x14ac:dyDescent="0.2">
      <c r="A59" s="54">
        <v>42353</v>
      </c>
      <c r="B59" t="s">
        <v>131</v>
      </c>
      <c r="C59" s="64">
        <v>15</v>
      </c>
      <c r="D59" s="39">
        <f t="shared" ca="1" si="2"/>
        <v>104</v>
      </c>
      <c r="E59" s="55">
        <f>COUNTIFS(A:A,表1[[#This Row],[时间]],B:B,表1[[#This Row],[项目]])</f>
        <v>2</v>
      </c>
    </row>
    <row r="60" spans="1:5" x14ac:dyDescent="0.2">
      <c r="A60" s="54">
        <v>42353</v>
      </c>
      <c r="B60" t="s">
        <v>133</v>
      </c>
      <c r="C60" s="64">
        <v>30</v>
      </c>
      <c r="D60" s="39">
        <f t="shared" ca="1" si="2"/>
        <v>104</v>
      </c>
      <c r="E60" s="55">
        <f>COUNTIFS(A:A,表1[[#This Row],[时间]],B:B,表1[[#This Row],[项目]])</f>
        <v>2</v>
      </c>
    </row>
    <row r="61" spans="1:5" x14ac:dyDescent="0.2">
      <c r="A61" s="54">
        <v>42354</v>
      </c>
      <c r="B61" t="s">
        <v>132</v>
      </c>
      <c r="C61" s="64">
        <v>15</v>
      </c>
      <c r="D61" s="39">
        <f t="shared" ref="D61:D69" ca="1" si="3">TODAY()-ROUNDDOWN(A61,0)</f>
        <v>103</v>
      </c>
      <c r="E61" s="55">
        <f>COUNTIFS(A:A,表1[[#This Row],[时间]],B:B,表1[[#This Row],[项目]])</f>
        <v>4</v>
      </c>
    </row>
    <row r="62" spans="1:5" x14ac:dyDescent="0.2">
      <c r="A62" s="54">
        <v>42354</v>
      </c>
      <c r="B62" t="s">
        <v>132</v>
      </c>
      <c r="C62" s="64">
        <v>15</v>
      </c>
      <c r="D62" s="39">
        <f t="shared" ca="1" si="3"/>
        <v>103</v>
      </c>
      <c r="E62" s="55">
        <f>COUNTIFS(A:A,表1[[#This Row],[时间]],B:B,表1[[#This Row],[项目]])</f>
        <v>4</v>
      </c>
    </row>
    <row r="63" spans="1:5" x14ac:dyDescent="0.2">
      <c r="A63" s="54">
        <v>42354</v>
      </c>
      <c r="B63" t="s">
        <v>132</v>
      </c>
      <c r="C63" s="64">
        <v>12</v>
      </c>
      <c r="D63" s="39">
        <f t="shared" ca="1" si="3"/>
        <v>103</v>
      </c>
      <c r="E63" s="55">
        <f>COUNTIFS(A:A,表1[[#This Row],[时间]],B:B,表1[[#This Row],[项目]])</f>
        <v>4</v>
      </c>
    </row>
    <row r="64" spans="1:5" x14ac:dyDescent="0.2">
      <c r="A64" s="54">
        <v>42354</v>
      </c>
      <c r="B64" t="s">
        <v>131</v>
      </c>
      <c r="C64" s="64">
        <v>18</v>
      </c>
      <c r="D64" s="39">
        <f t="shared" ca="1" si="3"/>
        <v>103</v>
      </c>
      <c r="E64" s="55">
        <f>COUNTIFS(A:A,表1[[#This Row],[时间]],B:B,表1[[#This Row],[项目]])</f>
        <v>2</v>
      </c>
    </row>
    <row r="65" spans="1:5" x14ac:dyDescent="0.2">
      <c r="A65" s="54">
        <v>42354</v>
      </c>
      <c r="B65" t="s">
        <v>134</v>
      </c>
      <c r="C65" s="64">
        <v>40</v>
      </c>
      <c r="D65" s="39">
        <f t="shared" ca="1" si="3"/>
        <v>103</v>
      </c>
      <c r="E65" s="55">
        <f>COUNTIFS(A:A,表1[[#This Row],[时间]],B:B,表1[[#This Row],[项目]])</f>
        <v>1</v>
      </c>
    </row>
    <row r="66" spans="1:5" x14ac:dyDescent="0.2">
      <c r="A66" s="54">
        <v>42354</v>
      </c>
      <c r="B66" t="s">
        <v>133</v>
      </c>
      <c r="C66" s="64">
        <v>30</v>
      </c>
      <c r="D66" s="39">
        <f t="shared" ca="1" si="3"/>
        <v>103</v>
      </c>
      <c r="E66" s="55">
        <f>COUNTIFS(A:A,表1[[#This Row],[时间]],B:B,表1[[#This Row],[项目]])</f>
        <v>2</v>
      </c>
    </row>
    <row r="67" spans="1:5" x14ac:dyDescent="0.2">
      <c r="A67" s="54">
        <v>42354</v>
      </c>
      <c r="B67" t="s">
        <v>131</v>
      </c>
      <c r="C67" s="64">
        <v>16</v>
      </c>
      <c r="D67" s="39">
        <f t="shared" ca="1" si="3"/>
        <v>103</v>
      </c>
      <c r="E67" s="55">
        <f>COUNTIFS(A:A,表1[[#This Row],[时间]],B:B,表1[[#This Row],[项目]])</f>
        <v>2</v>
      </c>
    </row>
    <row r="68" spans="1:5" x14ac:dyDescent="0.2">
      <c r="A68" s="54">
        <v>42354</v>
      </c>
      <c r="B68" t="s">
        <v>132</v>
      </c>
      <c r="C68" s="64">
        <v>12</v>
      </c>
      <c r="D68" s="39">
        <f t="shared" ca="1" si="3"/>
        <v>103</v>
      </c>
      <c r="E68" s="55">
        <f>COUNTIFS(A:A,表1[[#This Row],[时间]],B:B,表1[[#This Row],[项目]])</f>
        <v>4</v>
      </c>
    </row>
    <row r="69" spans="1:5" x14ac:dyDescent="0.2">
      <c r="A69" s="54">
        <v>42354</v>
      </c>
      <c r="B69" t="s">
        <v>133</v>
      </c>
      <c r="C69" s="64">
        <v>30</v>
      </c>
      <c r="D69" s="39">
        <f t="shared" ca="1" si="3"/>
        <v>103</v>
      </c>
      <c r="E69" s="55">
        <f>COUNTIFS(A:A,表1[[#This Row],[时间]],B:B,表1[[#This Row],[项目]])</f>
        <v>2</v>
      </c>
    </row>
    <row r="70" spans="1:5" x14ac:dyDescent="0.2">
      <c r="A70" s="54">
        <v>42372</v>
      </c>
      <c r="B70" t="s">
        <v>167</v>
      </c>
      <c r="C70" s="64">
        <v>60</v>
      </c>
      <c r="D70" s="39">
        <f t="shared" ref="D70:D75" ca="1" si="4">TODAY()-ROUNDDOWN(A70,0)</f>
        <v>85</v>
      </c>
      <c r="E70" s="55">
        <f>COUNTIFS(A:A,表1[[#This Row],[时间]],B:B,表1[[#This Row],[项目]])</f>
        <v>3</v>
      </c>
    </row>
    <row r="71" spans="1:5" x14ac:dyDescent="0.2">
      <c r="A71" s="54">
        <v>42372</v>
      </c>
      <c r="B71" t="s">
        <v>167</v>
      </c>
      <c r="C71" s="64">
        <v>54</v>
      </c>
      <c r="D71" s="39">
        <f t="shared" ca="1" si="4"/>
        <v>85</v>
      </c>
      <c r="E71" s="55">
        <f>COUNTIFS(A:A,表1[[#This Row],[时间]],B:B,表1[[#This Row],[项目]])</f>
        <v>3</v>
      </c>
    </row>
    <row r="72" spans="1:5" x14ac:dyDescent="0.2">
      <c r="A72" s="54">
        <v>42372</v>
      </c>
      <c r="B72" t="s">
        <v>167</v>
      </c>
      <c r="C72" s="64">
        <v>54</v>
      </c>
      <c r="D72" s="39">
        <f t="shared" ca="1" si="4"/>
        <v>85</v>
      </c>
      <c r="E72" s="55">
        <f>COUNTIFS(A:A,表1[[#This Row],[时间]],B:B,表1[[#This Row],[项目]])</f>
        <v>3</v>
      </c>
    </row>
    <row r="73" spans="1:5" x14ac:dyDescent="0.2">
      <c r="A73" s="54">
        <v>42378</v>
      </c>
      <c r="B73" t="s">
        <v>132</v>
      </c>
      <c r="C73" s="64">
        <v>10</v>
      </c>
      <c r="D73" s="39">
        <f t="shared" ca="1" si="4"/>
        <v>79</v>
      </c>
      <c r="E73" s="55">
        <f>COUNTIFS(A:A,表1[[#This Row],[时间]],B:B,表1[[#This Row],[项目]])</f>
        <v>1</v>
      </c>
    </row>
    <row r="74" spans="1:5" x14ac:dyDescent="0.2">
      <c r="A74" s="54">
        <v>42378</v>
      </c>
      <c r="B74" t="s">
        <v>131</v>
      </c>
      <c r="C74" s="64">
        <v>10</v>
      </c>
      <c r="D74" s="39">
        <f t="shared" ca="1" si="4"/>
        <v>79</v>
      </c>
      <c r="E74" s="55">
        <f>COUNTIFS(A:A,表1[[#This Row],[时间]],B:B,表1[[#This Row],[项目]])</f>
        <v>1</v>
      </c>
    </row>
    <row r="75" spans="1:5" x14ac:dyDescent="0.2">
      <c r="A75" s="54">
        <v>42378</v>
      </c>
      <c r="B75" t="s">
        <v>134</v>
      </c>
      <c r="C75" s="64">
        <v>36</v>
      </c>
      <c r="D75" s="39">
        <f t="shared" ca="1" si="4"/>
        <v>79</v>
      </c>
      <c r="E75" s="55">
        <f>COUNTIFS(A:A,表1[[#This Row],[时间]],B:B,表1[[#This Row],[项目]])</f>
        <v>1</v>
      </c>
    </row>
    <row r="76" spans="1:5" x14ac:dyDescent="0.2">
      <c r="A76" s="54">
        <v>42381</v>
      </c>
      <c r="B76" t="s">
        <v>155</v>
      </c>
      <c r="C76" s="64">
        <v>60</v>
      </c>
      <c r="D76" s="39">
        <f ca="1">TODAY()-ROUNDDOWN(A76,0)</f>
        <v>76</v>
      </c>
      <c r="E76" s="55">
        <f>COUNTIFS(A:A,表1[[#This Row],[时间]],B:B,表1[[#This Row],[项目]])</f>
        <v>1</v>
      </c>
    </row>
    <row r="77" spans="1:5" x14ac:dyDescent="0.2">
      <c r="A77" s="54">
        <v>42381</v>
      </c>
      <c r="B77" t="s">
        <v>131</v>
      </c>
      <c r="C77" s="64">
        <v>16</v>
      </c>
      <c r="D77" s="39">
        <f t="shared" ref="D77:D80" ca="1" si="5">TODAY()-ROUNDDOWN(A77,0)</f>
        <v>76</v>
      </c>
      <c r="E77" s="55">
        <f>COUNTIFS(A:A,表1[[#This Row],[时间]],B:B,表1[[#This Row],[项目]])</f>
        <v>1</v>
      </c>
    </row>
    <row r="78" spans="1:5" x14ac:dyDescent="0.2">
      <c r="A78" s="54">
        <v>42381</v>
      </c>
      <c r="B78" t="s">
        <v>132</v>
      </c>
      <c r="C78" s="64">
        <v>15</v>
      </c>
      <c r="D78" s="39">
        <f t="shared" ca="1" si="5"/>
        <v>76</v>
      </c>
      <c r="E78" s="55">
        <f>COUNTIFS(A:A,表1[[#This Row],[时间]],B:B,表1[[#This Row],[项目]])</f>
        <v>1</v>
      </c>
    </row>
    <row r="79" spans="1:5" x14ac:dyDescent="0.2">
      <c r="A79" s="54">
        <v>42381</v>
      </c>
      <c r="B79" t="s">
        <v>133</v>
      </c>
      <c r="C79" s="64">
        <v>30</v>
      </c>
      <c r="D79" s="39">
        <f t="shared" ca="1" si="5"/>
        <v>76</v>
      </c>
      <c r="E79" s="55">
        <f>COUNTIFS(A:A,表1[[#This Row],[时间]],B:B,表1[[#This Row],[项目]])</f>
        <v>1</v>
      </c>
    </row>
    <row r="80" spans="1:5" x14ac:dyDescent="0.2">
      <c r="A80" s="54">
        <v>42381</v>
      </c>
      <c r="B80" t="s">
        <v>134</v>
      </c>
      <c r="C80" s="64">
        <v>40</v>
      </c>
      <c r="D80" s="39">
        <f t="shared" ca="1" si="5"/>
        <v>76</v>
      </c>
      <c r="E80" s="55">
        <f>COUNTIFS(A:A,表1[[#This Row],[时间]],B:B,表1[[#This Row],[项目]])</f>
        <v>1</v>
      </c>
    </row>
    <row r="81" spans="1:5" x14ac:dyDescent="0.2">
      <c r="A81" s="54">
        <v>42381</v>
      </c>
      <c r="B81" t="s">
        <v>176</v>
      </c>
      <c r="C81" s="64">
        <v>1</v>
      </c>
      <c r="D81" s="39">
        <f ca="1">TODAY()-ROUNDDOWN(A81,0)</f>
        <v>76</v>
      </c>
      <c r="E81" s="55">
        <f>COUNTIFS(A:A,表1[[#This Row],[时间]],B:B,表1[[#This Row],[项目]])</f>
        <v>1</v>
      </c>
    </row>
    <row r="82" spans="1:5" x14ac:dyDescent="0.2">
      <c r="A82" s="54">
        <v>42387</v>
      </c>
      <c r="B82" s="36" t="s">
        <v>135</v>
      </c>
      <c r="C82" s="64">
        <v>61</v>
      </c>
      <c r="D82" s="39">
        <f t="shared" ref="D82:D87" ca="1" si="6">TODAY()-ROUNDDOWN(A82,0)</f>
        <v>70</v>
      </c>
      <c r="E82" s="55">
        <f>COUNTIFS(A:A,表1[[#This Row],[时间]],B:B,表1[[#This Row],[项目]])</f>
        <v>2</v>
      </c>
    </row>
    <row r="83" spans="1:5" x14ac:dyDescent="0.2">
      <c r="A83" s="54">
        <v>42387</v>
      </c>
      <c r="B83" t="s">
        <v>131</v>
      </c>
      <c r="C83" s="64">
        <v>11</v>
      </c>
      <c r="D83" s="39">
        <f t="shared" ca="1" si="6"/>
        <v>70</v>
      </c>
      <c r="E83" s="55">
        <f>COUNTIFS(A:A,表1[[#This Row],[时间]],B:B,表1[[#This Row],[项目]])</f>
        <v>2</v>
      </c>
    </row>
    <row r="84" spans="1:5" x14ac:dyDescent="0.2">
      <c r="A84" s="54">
        <v>42387</v>
      </c>
      <c r="B84" t="s">
        <v>132</v>
      </c>
      <c r="C84" s="64">
        <v>15</v>
      </c>
      <c r="D84" s="39">
        <f t="shared" ca="1" si="6"/>
        <v>70</v>
      </c>
      <c r="E84" s="55">
        <f>COUNTIFS(A:A,表1[[#This Row],[时间]],B:B,表1[[#This Row],[项目]])</f>
        <v>2</v>
      </c>
    </row>
    <row r="85" spans="1:5" x14ac:dyDescent="0.2">
      <c r="A85" s="54">
        <v>42387</v>
      </c>
      <c r="B85" t="s">
        <v>133</v>
      </c>
      <c r="C85" s="64">
        <v>30</v>
      </c>
      <c r="D85" s="39">
        <f t="shared" ca="1" si="6"/>
        <v>70</v>
      </c>
      <c r="E85" s="55">
        <f>COUNTIFS(A:A,表1[[#This Row],[时间]],B:B,表1[[#This Row],[项目]])</f>
        <v>2</v>
      </c>
    </row>
    <row r="86" spans="1:5" x14ac:dyDescent="0.2">
      <c r="A86" s="54">
        <v>42387</v>
      </c>
      <c r="B86" t="s">
        <v>134</v>
      </c>
      <c r="C86" s="64">
        <v>35</v>
      </c>
      <c r="D86" s="39">
        <f t="shared" ca="1" si="6"/>
        <v>70</v>
      </c>
      <c r="E86" s="55">
        <f>COUNTIFS(A:A,表1[[#This Row],[时间]],B:B,表1[[#This Row],[项目]])</f>
        <v>2</v>
      </c>
    </row>
    <row r="87" spans="1:5" x14ac:dyDescent="0.2">
      <c r="A87" s="54">
        <v>42387</v>
      </c>
      <c r="B87" s="36" t="s">
        <v>177</v>
      </c>
      <c r="C87" s="64">
        <v>1</v>
      </c>
      <c r="D87" s="39">
        <f t="shared" ca="1" si="6"/>
        <v>70</v>
      </c>
      <c r="E87" s="55">
        <f>COUNTIFS(A:A,表1[[#This Row],[时间]],B:B,表1[[#This Row],[项目]])</f>
        <v>2</v>
      </c>
    </row>
    <row r="88" spans="1:5" x14ac:dyDescent="0.2">
      <c r="A88" s="54">
        <v>42387</v>
      </c>
      <c r="B88" s="36" t="s">
        <v>135</v>
      </c>
      <c r="C88" s="64">
        <v>60</v>
      </c>
      <c r="D88" s="39">
        <f t="shared" ref="D88:D93" ca="1" si="7">TODAY()-ROUNDDOWN(A88,0)</f>
        <v>70</v>
      </c>
      <c r="E88" s="55">
        <f>COUNTIFS(A:A,表1[[#This Row],[时间]],B:B,表1[[#This Row],[项目]])</f>
        <v>2</v>
      </c>
    </row>
    <row r="89" spans="1:5" x14ac:dyDescent="0.2">
      <c r="A89" s="54">
        <v>42387</v>
      </c>
      <c r="B89" t="s">
        <v>131</v>
      </c>
      <c r="C89" s="64">
        <v>12</v>
      </c>
      <c r="D89" s="39">
        <f t="shared" ca="1" si="7"/>
        <v>70</v>
      </c>
      <c r="E89" s="55">
        <f>COUNTIFS(A:A,表1[[#This Row],[时间]],B:B,表1[[#This Row],[项目]])</f>
        <v>2</v>
      </c>
    </row>
    <row r="90" spans="1:5" x14ac:dyDescent="0.2">
      <c r="A90" s="54">
        <v>42387</v>
      </c>
      <c r="B90" t="s">
        <v>132</v>
      </c>
      <c r="C90" s="64">
        <v>15</v>
      </c>
      <c r="D90" s="39">
        <f t="shared" ca="1" si="7"/>
        <v>70</v>
      </c>
      <c r="E90" s="55">
        <f>COUNTIFS(A:A,表1[[#This Row],[时间]],B:B,表1[[#This Row],[项目]])</f>
        <v>2</v>
      </c>
    </row>
    <row r="91" spans="1:5" x14ac:dyDescent="0.2">
      <c r="A91" s="54">
        <v>42387</v>
      </c>
      <c r="B91" t="s">
        <v>133</v>
      </c>
      <c r="C91" s="64">
        <v>35</v>
      </c>
      <c r="D91" s="39">
        <f t="shared" ca="1" si="7"/>
        <v>70</v>
      </c>
      <c r="E91" s="55">
        <f>COUNTIFS(A:A,表1[[#This Row],[时间]],B:B,表1[[#This Row],[项目]])</f>
        <v>2</v>
      </c>
    </row>
    <row r="92" spans="1:5" x14ac:dyDescent="0.2">
      <c r="A92" s="54">
        <v>42387</v>
      </c>
      <c r="B92" t="s">
        <v>134</v>
      </c>
      <c r="C92" s="64">
        <v>30</v>
      </c>
      <c r="D92" s="39">
        <f t="shared" ca="1" si="7"/>
        <v>70</v>
      </c>
      <c r="E92" s="55">
        <f>COUNTIFS(A:A,表1[[#This Row],[时间]],B:B,表1[[#This Row],[项目]])</f>
        <v>2</v>
      </c>
    </row>
    <row r="93" spans="1:5" x14ac:dyDescent="0.2">
      <c r="A93" s="54">
        <v>42387</v>
      </c>
      <c r="B93" s="36" t="s">
        <v>177</v>
      </c>
      <c r="C93" s="64">
        <v>1</v>
      </c>
      <c r="D93" s="39">
        <f t="shared" ca="1" si="7"/>
        <v>70</v>
      </c>
      <c r="E93" s="55">
        <f>COUNTIFS(A:A,表1[[#This Row],[时间]],B:B,表1[[#This Row],[项目]])</f>
        <v>2</v>
      </c>
    </row>
    <row r="94" spans="1:5" x14ac:dyDescent="0.2">
      <c r="A94" s="54">
        <v>42404</v>
      </c>
      <c r="B94" t="s">
        <v>179</v>
      </c>
      <c r="C94" s="64">
        <v>2</v>
      </c>
      <c r="D94" s="39">
        <f t="shared" ref="D94:D102" ca="1" si="8">TODAY()-ROUNDDOWN(A94,0)</f>
        <v>53</v>
      </c>
      <c r="E94" s="55">
        <f>COUNTIFS(A:A,表1[[#This Row],[时间]],B:B,表1[[#This Row],[项目]])</f>
        <v>1</v>
      </c>
    </row>
    <row r="95" spans="1:5" x14ac:dyDescent="0.2">
      <c r="A95" s="54">
        <v>42416</v>
      </c>
      <c r="B95" t="s">
        <v>155</v>
      </c>
      <c r="C95" s="64">
        <v>60</v>
      </c>
      <c r="D95" s="39">
        <f t="shared" ca="1" si="8"/>
        <v>41</v>
      </c>
      <c r="E95" s="55">
        <f>COUNTIFS(A:A,表1[[#This Row],[时间]],B:B,表1[[#This Row],[项目]])</f>
        <v>3</v>
      </c>
    </row>
    <row r="96" spans="1:5" x14ac:dyDescent="0.2">
      <c r="A96" s="54">
        <v>42416</v>
      </c>
      <c r="B96" t="s">
        <v>155</v>
      </c>
      <c r="C96" s="64">
        <v>60</v>
      </c>
      <c r="D96" s="39">
        <f t="shared" ca="1" si="8"/>
        <v>41</v>
      </c>
      <c r="E96" s="55">
        <f>COUNTIFS(A:A,表1[[#This Row],[时间]],B:B,表1[[#This Row],[项目]])</f>
        <v>3</v>
      </c>
    </row>
    <row r="97" spans="1:6" x14ac:dyDescent="0.2">
      <c r="A97" s="54">
        <v>42416</v>
      </c>
      <c r="B97" t="s">
        <v>131</v>
      </c>
      <c r="C97" s="64">
        <v>20</v>
      </c>
      <c r="D97" s="39">
        <f t="shared" ca="1" si="8"/>
        <v>41</v>
      </c>
      <c r="E97" s="55">
        <f>COUNTIFS(A:A,表1[[#This Row],[时间]],B:B,表1[[#This Row],[项目]])</f>
        <v>2</v>
      </c>
    </row>
    <row r="98" spans="1:6" x14ac:dyDescent="0.2">
      <c r="A98" s="54">
        <v>42416</v>
      </c>
      <c r="B98" t="s">
        <v>131</v>
      </c>
      <c r="C98" s="64">
        <v>20</v>
      </c>
      <c r="D98" s="39">
        <f t="shared" ca="1" si="8"/>
        <v>41</v>
      </c>
      <c r="E98" s="55">
        <f>COUNTIFS(A:A,表1[[#This Row],[时间]],B:B,表1[[#This Row],[项目]])</f>
        <v>2</v>
      </c>
    </row>
    <row r="99" spans="1:6" x14ac:dyDescent="0.2">
      <c r="A99" s="54">
        <v>42416</v>
      </c>
      <c r="B99" t="s">
        <v>182</v>
      </c>
      <c r="C99" s="64">
        <v>8</v>
      </c>
      <c r="D99" s="39">
        <f t="shared" ca="1" si="8"/>
        <v>41</v>
      </c>
      <c r="E99" s="55">
        <f>COUNTIFS(A:A,表1[[#This Row],[时间]],B:B,表1[[#This Row],[项目]])</f>
        <v>1</v>
      </c>
    </row>
    <row r="100" spans="1:6" x14ac:dyDescent="0.2">
      <c r="A100" s="54">
        <v>42416</v>
      </c>
      <c r="B100" t="s">
        <v>184</v>
      </c>
      <c r="C100" s="64">
        <v>11</v>
      </c>
      <c r="D100" s="39">
        <f t="shared" ca="1" si="8"/>
        <v>41</v>
      </c>
      <c r="E100" s="55">
        <f>COUNTIFS(A:A,表1[[#This Row],[时间]],B:B,表1[[#This Row],[项目]])</f>
        <v>1</v>
      </c>
    </row>
    <row r="101" spans="1:6" x14ac:dyDescent="0.2">
      <c r="A101" s="54">
        <v>42416</v>
      </c>
      <c r="B101" t="s">
        <v>155</v>
      </c>
      <c r="C101" s="64">
        <v>65</v>
      </c>
      <c r="D101" s="39">
        <f t="shared" ca="1" si="8"/>
        <v>41</v>
      </c>
      <c r="E101" s="55">
        <f>COUNTIFS(A:A,表1[[#This Row],[时间]],B:B,表1[[#This Row],[项目]])</f>
        <v>3</v>
      </c>
    </row>
    <row r="102" spans="1:6" x14ac:dyDescent="0.2">
      <c r="A102" s="54">
        <v>42416</v>
      </c>
      <c r="B102" t="s">
        <v>132</v>
      </c>
      <c r="C102" s="64">
        <v>15</v>
      </c>
      <c r="D102" s="39">
        <f t="shared" ca="1" si="8"/>
        <v>41</v>
      </c>
      <c r="E102" s="55">
        <f>COUNTIFS(A:A,表1[[#This Row],[时间]],B:B,表1[[#This Row],[项目]])</f>
        <v>1</v>
      </c>
    </row>
    <row r="103" spans="1:6" x14ac:dyDescent="0.2">
      <c r="A103" s="54">
        <v>42418</v>
      </c>
      <c r="B103" t="s">
        <v>131</v>
      </c>
      <c r="C103" s="64">
        <v>20</v>
      </c>
      <c r="D103" s="39">
        <f t="shared" ref="D103:D109" ca="1" si="9">TODAY()-ROUNDDOWN(A103,0)</f>
        <v>39</v>
      </c>
      <c r="E103" s="55">
        <f>COUNTIFS(A:A,表1[[#This Row],[时间]],B:B,表1[[#This Row],[项目]])</f>
        <v>1</v>
      </c>
    </row>
    <row r="104" spans="1:6" x14ac:dyDescent="0.2">
      <c r="A104" s="54">
        <v>42418</v>
      </c>
      <c r="B104" t="s">
        <v>155</v>
      </c>
      <c r="C104" s="64">
        <v>60</v>
      </c>
      <c r="D104" s="39">
        <f t="shared" ca="1" si="9"/>
        <v>39</v>
      </c>
      <c r="E104" s="55">
        <f>COUNTIFS(A:A,表1[[#This Row],[时间]],B:B,表1[[#This Row],[项目]])</f>
        <v>1</v>
      </c>
    </row>
    <row r="105" spans="1:6" x14ac:dyDescent="0.2">
      <c r="A105" s="54">
        <v>42418</v>
      </c>
      <c r="B105" t="s">
        <v>182</v>
      </c>
      <c r="C105" s="64">
        <v>12</v>
      </c>
      <c r="D105" s="39">
        <f t="shared" ca="1" si="9"/>
        <v>39</v>
      </c>
      <c r="E105" s="55">
        <f>COUNTIFS(A:A,表1[[#This Row],[时间]],B:B,表1[[#This Row],[项目]])</f>
        <v>1</v>
      </c>
    </row>
    <row r="106" spans="1:6" x14ac:dyDescent="0.2">
      <c r="A106" s="54">
        <v>42418</v>
      </c>
      <c r="B106" t="s">
        <v>132</v>
      </c>
      <c r="C106" s="64">
        <v>15</v>
      </c>
      <c r="D106" s="39">
        <f t="shared" ca="1" si="9"/>
        <v>39</v>
      </c>
      <c r="E106" s="55">
        <f>COUNTIFS(A:A,表1[[#This Row],[时间]],B:B,表1[[#This Row],[项目]])</f>
        <v>2</v>
      </c>
    </row>
    <row r="107" spans="1:6" x14ac:dyDescent="0.2">
      <c r="A107" s="54">
        <v>42418</v>
      </c>
      <c r="B107" t="s">
        <v>134</v>
      </c>
      <c r="C107" s="64">
        <v>30</v>
      </c>
      <c r="D107" s="39">
        <f t="shared" ca="1" si="9"/>
        <v>39</v>
      </c>
      <c r="E107" s="55">
        <f>COUNTIFS(A:A,表1[[#This Row],[时间]],B:B,表1[[#This Row],[项目]])</f>
        <v>1</v>
      </c>
    </row>
    <row r="108" spans="1:6" x14ac:dyDescent="0.2">
      <c r="A108" s="54">
        <v>42418</v>
      </c>
      <c r="B108" t="s">
        <v>184</v>
      </c>
      <c r="C108" s="64">
        <v>12</v>
      </c>
      <c r="D108" s="39">
        <f t="shared" ca="1" si="9"/>
        <v>39</v>
      </c>
      <c r="E108" s="55">
        <f>COUNTIFS(A:A,表1[[#This Row],[时间]],B:B,表1[[#This Row],[项目]])</f>
        <v>1</v>
      </c>
    </row>
    <row r="109" spans="1:6" x14ac:dyDescent="0.2">
      <c r="A109" s="54">
        <v>42418</v>
      </c>
      <c r="B109" t="s">
        <v>132</v>
      </c>
      <c r="C109" s="64">
        <v>16</v>
      </c>
      <c r="D109" s="39">
        <f t="shared" ca="1" si="9"/>
        <v>39</v>
      </c>
      <c r="E109" s="55">
        <f>COUNTIFS(A:A,表1[[#This Row],[时间]],B:B,表1[[#This Row],[项目]])</f>
        <v>2</v>
      </c>
    </row>
    <row r="110" spans="1:6" x14ac:dyDescent="0.2">
      <c r="A110" s="54">
        <v>42427</v>
      </c>
      <c r="B110" t="s">
        <v>186</v>
      </c>
      <c r="C110" s="64">
        <v>12</v>
      </c>
      <c r="D110" s="39">
        <f t="shared" ref="D110:D115" ca="1" si="10">TODAY()-ROUNDDOWN(A110,0)</f>
        <v>30</v>
      </c>
      <c r="E110" s="55">
        <f>COUNTIFS(A:A,表1[[#This Row],[时间]],B:B,表1[[#This Row],[项目]])</f>
        <v>5</v>
      </c>
      <c r="F110" s="36" t="s">
        <v>189</v>
      </c>
    </row>
    <row r="111" spans="1:6" x14ac:dyDescent="0.2">
      <c r="A111" s="54">
        <v>42427</v>
      </c>
      <c r="B111" t="s">
        <v>190</v>
      </c>
      <c r="C111" s="64">
        <v>16</v>
      </c>
      <c r="D111" s="39">
        <f t="shared" ca="1" si="10"/>
        <v>30</v>
      </c>
      <c r="E111" s="55">
        <f>COUNTIFS(A:A,表1[[#This Row],[时间]],B:B,表1[[#This Row],[项目]])</f>
        <v>5</v>
      </c>
      <c r="F111" s="36" t="s">
        <v>192</v>
      </c>
    </row>
    <row r="112" spans="1:6" x14ac:dyDescent="0.2">
      <c r="A112" s="54">
        <v>42427</v>
      </c>
      <c r="B112" t="s">
        <v>186</v>
      </c>
      <c r="C112" s="64">
        <v>14</v>
      </c>
      <c r="D112" s="39">
        <f t="shared" ca="1" si="10"/>
        <v>30</v>
      </c>
      <c r="E112" s="55">
        <f>COUNTIFS(A:A,表1[[#This Row],[时间]],B:B,表1[[#This Row],[项目]])</f>
        <v>5</v>
      </c>
      <c r="F112" s="36" t="s">
        <v>189</v>
      </c>
    </row>
    <row r="113" spans="1:6" x14ac:dyDescent="0.2">
      <c r="A113" s="54">
        <v>42427</v>
      </c>
      <c r="B113" t="s">
        <v>190</v>
      </c>
      <c r="C113" s="64">
        <v>14</v>
      </c>
      <c r="D113" s="39">
        <f t="shared" ca="1" si="10"/>
        <v>30</v>
      </c>
      <c r="E113" s="55">
        <f>COUNTIFS(A:A,表1[[#This Row],[时间]],B:B,表1[[#This Row],[项目]])</f>
        <v>5</v>
      </c>
      <c r="F113" s="36" t="s">
        <v>192</v>
      </c>
    </row>
    <row r="114" spans="1:6" x14ac:dyDescent="0.2">
      <c r="A114" s="54">
        <v>42427</v>
      </c>
      <c r="B114" t="s">
        <v>201</v>
      </c>
      <c r="C114" s="64">
        <v>13</v>
      </c>
      <c r="D114" s="39">
        <f t="shared" ca="1" si="10"/>
        <v>30</v>
      </c>
      <c r="E114" s="55">
        <f>COUNTIFS(A:A,表1[[#This Row],[时间]],B:B,表1[[#This Row],[项目]])</f>
        <v>3</v>
      </c>
    </row>
    <row r="115" spans="1:6" x14ac:dyDescent="0.2">
      <c r="A115" s="54">
        <v>42427</v>
      </c>
      <c r="B115" t="s">
        <v>198</v>
      </c>
      <c r="C115" s="64">
        <v>15</v>
      </c>
      <c r="D115" s="39">
        <f t="shared" ca="1" si="10"/>
        <v>30</v>
      </c>
      <c r="E115" s="55">
        <f>COUNTIFS(A:A,表1[[#This Row],[时间]],B:B,表1[[#This Row],[项目]])</f>
        <v>4</v>
      </c>
    </row>
    <row r="116" spans="1:6" x14ac:dyDescent="0.2">
      <c r="A116" s="54">
        <v>42427</v>
      </c>
      <c r="B116" s="36" t="s">
        <v>187</v>
      </c>
      <c r="C116" s="64">
        <v>14</v>
      </c>
      <c r="D116" s="39">
        <f t="shared" ref="D116:D122" ca="1" si="11">TODAY()-ROUNDDOWN(A116,0)</f>
        <v>30</v>
      </c>
      <c r="E116" s="55">
        <f>COUNTIFS(A:A,表1[[#This Row],[时间]],B:B,表1[[#This Row],[项目]])</f>
        <v>5</v>
      </c>
    </row>
    <row r="117" spans="1:6" x14ac:dyDescent="0.2">
      <c r="A117" s="54">
        <v>42427</v>
      </c>
      <c r="B117" s="36" t="s">
        <v>191</v>
      </c>
      <c r="C117" s="64">
        <v>20</v>
      </c>
      <c r="D117" s="39">
        <f t="shared" ca="1" si="11"/>
        <v>30</v>
      </c>
      <c r="E117" s="55">
        <f>COUNTIFS(A:A,表1[[#This Row],[时间]],B:B,表1[[#This Row],[项目]])</f>
        <v>5</v>
      </c>
    </row>
    <row r="118" spans="1:6" x14ac:dyDescent="0.2">
      <c r="A118" s="54">
        <v>42427</v>
      </c>
      <c r="B118" s="36" t="s">
        <v>197</v>
      </c>
      <c r="C118" s="64">
        <v>12</v>
      </c>
      <c r="D118" s="39">
        <f t="shared" ca="1" si="11"/>
        <v>30</v>
      </c>
      <c r="E118" s="55">
        <f>COUNTIFS(A:A,表1[[#This Row],[时间]],B:B,表1[[#This Row],[项目]])</f>
        <v>3</v>
      </c>
    </row>
    <row r="119" spans="1:6" x14ac:dyDescent="0.2">
      <c r="A119" s="54">
        <v>42427</v>
      </c>
      <c r="B119" s="36" t="s">
        <v>199</v>
      </c>
      <c r="C119" s="64">
        <v>15</v>
      </c>
      <c r="D119" s="39">
        <f t="shared" ca="1" si="11"/>
        <v>30</v>
      </c>
      <c r="E119" s="55">
        <f>COUNTIFS(A:A,表1[[#This Row],[时间]],B:B,表1[[#This Row],[项目]])</f>
        <v>4</v>
      </c>
    </row>
    <row r="120" spans="1:6" x14ac:dyDescent="0.2">
      <c r="A120" s="54">
        <v>42427</v>
      </c>
      <c r="B120" s="36" t="s">
        <v>200</v>
      </c>
      <c r="C120" s="64">
        <v>20</v>
      </c>
      <c r="D120" s="39">
        <f t="shared" ca="1" si="11"/>
        <v>30</v>
      </c>
      <c r="E120" s="55">
        <f>COUNTIFS(A:A,表1[[#This Row],[时间]],B:B,表1[[#This Row],[项目]])</f>
        <v>3</v>
      </c>
    </row>
    <row r="121" spans="1:6" x14ac:dyDescent="0.2">
      <c r="A121" s="54">
        <v>42427</v>
      </c>
      <c r="B121" s="36" t="s">
        <v>202</v>
      </c>
      <c r="C121" s="64">
        <v>16</v>
      </c>
      <c r="D121" s="39">
        <f t="shared" ca="1" si="11"/>
        <v>30</v>
      </c>
      <c r="E121" s="55">
        <f>COUNTIFS(A:A,表1[[#This Row],[时间]],B:B,表1[[#This Row],[项目]])</f>
        <v>3</v>
      </c>
    </row>
    <row r="122" spans="1:6" x14ac:dyDescent="0.2">
      <c r="A122" s="54">
        <v>42427</v>
      </c>
      <c r="B122" s="36" t="s">
        <v>203</v>
      </c>
      <c r="C122" s="64">
        <v>20</v>
      </c>
      <c r="D122" s="39">
        <f t="shared" ca="1" si="11"/>
        <v>30</v>
      </c>
      <c r="E122" s="55">
        <f>COUNTIFS(A:A,表1[[#This Row],[时间]],B:B,表1[[#This Row],[项目]])</f>
        <v>3</v>
      </c>
    </row>
    <row r="123" spans="1:6" x14ac:dyDescent="0.2">
      <c r="A123" s="54">
        <v>42427</v>
      </c>
      <c r="B123" s="36" t="s">
        <v>187</v>
      </c>
      <c r="C123" s="64">
        <v>15</v>
      </c>
      <c r="D123" s="39">
        <f t="shared" ref="D123:D129" ca="1" si="12">TODAY()-ROUNDDOWN(A123,0)</f>
        <v>30</v>
      </c>
      <c r="E123" s="55">
        <f>COUNTIFS(A:A,表1[[#This Row],[时间]],B:B,表1[[#This Row],[项目]])</f>
        <v>5</v>
      </c>
    </row>
    <row r="124" spans="1:6" x14ac:dyDescent="0.2">
      <c r="A124" s="54">
        <v>42427</v>
      </c>
      <c r="B124" s="36" t="s">
        <v>191</v>
      </c>
      <c r="C124" s="64">
        <v>20</v>
      </c>
      <c r="D124" s="39">
        <f t="shared" ca="1" si="12"/>
        <v>30</v>
      </c>
      <c r="E124" s="55">
        <f>COUNTIFS(A:A,表1[[#This Row],[时间]],B:B,表1[[#This Row],[项目]])</f>
        <v>5</v>
      </c>
    </row>
    <row r="125" spans="1:6" x14ac:dyDescent="0.2">
      <c r="A125" s="54">
        <v>42427</v>
      </c>
      <c r="B125" s="36" t="s">
        <v>197</v>
      </c>
      <c r="C125" s="64">
        <v>10</v>
      </c>
      <c r="D125" s="39">
        <f t="shared" ca="1" si="12"/>
        <v>30</v>
      </c>
      <c r="E125" s="55">
        <f>COUNTIFS(A:A,表1[[#This Row],[时间]],B:B,表1[[#This Row],[项目]])</f>
        <v>3</v>
      </c>
    </row>
    <row r="126" spans="1:6" x14ac:dyDescent="0.2">
      <c r="A126" s="54">
        <v>42427</v>
      </c>
      <c r="B126" s="36" t="s">
        <v>199</v>
      </c>
      <c r="C126" s="64">
        <v>16</v>
      </c>
      <c r="D126" s="39">
        <f t="shared" ca="1" si="12"/>
        <v>30</v>
      </c>
      <c r="E126" s="55">
        <f>COUNTIFS(A:A,表1[[#This Row],[时间]],B:B,表1[[#This Row],[项目]])</f>
        <v>4</v>
      </c>
    </row>
    <row r="127" spans="1:6" x14ac:dyDescent="0.2">
      <c r="A127" s="54">
        <v>42427</v>
      </c>
      <c r="B127" s="36" t="s">
        <v>200</v>
      </c>
      <c r="C127" s="64">
        <v>20</v>
      </c>
      <c r="D127" s="39">
        <f t="shared" ca="1" si="12"/>
        <v>30</v>
      </c>
      <c r="E127" s="55">
        <f>COUNTIFS(A:A,表1[[#This Row],[时间]],B:B,表1[[#This Row],[项目]])</f>
        <v>3</v>
      </c>
    </row>
    <row r="128" spans="1:6" x14ac:dyDescent="0.2">
      <c r="A128" s="54">
        <v>42427</v>
      </c>
      <c r="B128" s="36" t="s">
        <v>202</v>
      </c>
      <c r="C128" s="64">
        <v>12</v>
      </c>
      <c r="D128" s="39">
        <f t="shared" ca="1" si="12"/>
        <v>30</v>
      </c>
      <c r="E128" s="55">
        <f>COUNTIFS(A:A,表1[[#This Row],[时间]],B:B,表1[[#This Row],[项目]])</f>
        <v>3</v>
      </c>
    </row>
    <row r="129" spans="1:5" x14ac:dyDescent="0.2">
      <c r="A129" s="54">
        <v>42427</v>
      </c>
      <c r="B129" s="36" t="s">
        <v>203</v>
      </c>
      <c r="C129" s="64">
        <v>15</v>
      </c>
      <c r="D129" s="39">
        <f t="shared" ca="1" si="12"/>
        <v>30</v>
      </c>
      <c r="E129" s="55">
        <f>COUNTIFS(A:A,表1[[#This Row],[时间]],B:B,表1[[#This Row],[项目]])</f>
        <v>3</v>
      </c>
    </row>
    <row r="130" spans="1:5" x14ac:dyDescent="0.2">
      <c r="A130" s="54">
        <v>42427</v>
      </c>
      <c r="B130" s="36" t="s">
        <v>187</v>
      </c>
      <c r="C130" s="64">
        <v>13</v>
      </c>
      <c r="D130" s="39">
        <f t="shared" ref="D130:D134" ca="1" si="13">TODAY()-ROUNDDOWN(A130,0)</f>
        <v>30</v>
      </c>
      <c r="E130" s="55">
        <f>COUNTIFS(A:A,表1[[#This Row],[时间]],B:B,表1[[#This Row],[项目]])</f>
        <v>5</v>
      </c>
    </row>
    <row r="131" spans="1:5" x14ac:dyDescent="0.2">
      <c r="A131" s="54">
        <v>42427</v>
      </c>
      <c r="B131" s="36" t="s">
        <v>191</v>
      </c>
      <c r="C131" s="64">
        <v>15</v>
      </c>
      <c r="D131" s="39">
        <f t="shared" ca="1" si="13"/>
        <v>30</v>
      </c>
      <c r="E131" s="55">
        <f>COUNTIFS(A:A,表1[[#This Row],[时间]],B:B,表1[[#This Row],[项目]])</f>
        <v>5</v>
      </c>
    </row>
    <row r="132" spans="1:5" x14ac:dyDescent="0.2">
      <c r="A132" s="54">
        <v>42427</v>
      </c>
      <c r="B132" s="36" t="s">
        <v>197</v>
      </c>
      <c r="C132" s="64">
        <v>10</v>
      </c>
      <c r="D132" s="39">
        <f t="shared" ca="1" si="13"/>
        <v>30</v>
      </c>
      <c r="E132" s="55">
        <f>COUNTIFS(A:A,表1[[#This Row],[时间]],B:B,表1[[#This Row],[项目]])</f>
        <v>3</v>
      </c>
    </row>
    <row r="133" spans="1:5" x14ac:dyDescent="0.2">
      <c r="A133" s="54">
        <v>42427</v>
      </c>
      <c r="B133" s="36" t="s">
        <v>199</v>
      </c>
      <c r="C133" s="64">
        <v>15</v>
      </c>
      <c r="D133" s="39">
        <f t="shared" ca="1" si="13"/>
        <v>30</v>
      </c>
      <c r="E133" s="55">
        <f>COUNTIFS(A:A,表1[[#This Row],[时间]],B:B,表1[[#This Row],[项目]])</f>
        <v>4</v>
      </c>
    </row>
    <row r="134" spans="1:5" x14ac:dyDescent="0.2">
      <c r="A134" s="54">
        <v>42427</v>
      </c>
      <c r="B134" s="36" t="s">
        <v>200</v>
      </c>
      <c r="C134" s="64">
        <v>20</v>
      </c>
      <c r="D134" s="39">
        <f t="shared" ca="1" si="13"/>
        <v>30</v>
      </c>
      <c r="E134" s="55">
        <f>COUNTIFS(A:A,表1[[#This Row],[时间]],B:B,表1[[#This Row],[项目]])</f>
        <v>3</v>
      </c>
    </row>
    <row r="135" spans="1:5" x14ac:dyDescent="0.2">
      <c r="A135" s="54">
        <v>42427</v>
      </c>
      <c r="B135" s="36" t="s">
        <v>203</v>
      </c>
      <c r="C135" s="64">
        <v>15</v>
      </c>
      <c r="D135" s="39">
        <f ca="1">TODAY()-ROUNDDOWN(A135,0)</f>
        <v>30</v>
      </c>
      <c r="E135" s="55">
        <f>COUNTIFS(A:A,表1[[#This Row],[时间]],B:B,表1[[#This Row],[项目]])</f>
        <v>3</v>
      </c>
    </row>
    <row r="136" spans="1:5" x14ac:dyDescent="0.2">
      <c r="A136" s="54">
        <v>42428</v>
      </c>
      <c r="B136" t="s">
        <v>205</v>
      </c>
      <c r="C136" s="64">
        <v>14</v>
      </c>
      <c r="D136" s="39">
        <f ca="1">TODAY()-ROUNDDOWN(A136,0)</f>
        <v>29</v>
      </c>
      <c r="E136" s="55">
        <f>COUNTIFS(A:A,表1[[#This Row],[时间]],B:B,表1[[#This Row],[项目]])</f>
        <v>2</v>
      </c>
    </row>
    <row r="137" spans="1:5" x14ac:dyDescent="0.2">
      <c r="A137" s="54">
        <v>42428</v>
      </c>
      <c r="B137" t="s">
        <v>207</v>
      </c>
      <c r="C137" s="64">
        <v>12</v>
      </c>
      <c r="D137" s="39">
        <f t="shared" ref="D137:D141" ca="1" si="14">TODAY()-ROUNDDOWN(A137,0)</f>
        <v>29</v>
      </c>
      <c r="E137" s="55">
        <f>COUNTIFS(A:A,表1[[#This Row],[时间]],B:B,表1[[#This Row],[项目]])</f>
        <v>2</v>
      </c>
    </row>
    <row r="138" spans="1:5" x14ac:dyDescent="0.2">
      <c r="A138" s="54">
        <v>42428</v>
      </c>
      <c r="B138" t="s">
        <v>209</v>
      </c>
      <c r="C138" s="64">
        <v>13</v>
      </c>
      <c r="D138" s="39">
        <f t="shared" ca="1" si="14"/>
        <v>29</v>
      </c>
      <c r="E138" s="55">
        <f>COUNTIFS(A:A,表1[[#This Row],[时间]],B:B,表1[[#This Row],[项目]])</f>
        <v>2</v>
      </c>
    </row>
    <row r="139" spans="1:5" x14ac:dyDescent="0.2">
      <c r="A139" s="54">
        <v>42428</v>
      </c>
      <c r="B139" t="s">
        <v>211</v>
      </c>
      <c r="C139" s="64">
        <v>12</v>
      </c>
      <c r="D139" s="39">
        <f t="shared" ca="1" si="14"/>
        <v>29</v>
      </c>
      <c r="E139" s="55">
        <f>COUNTIFS(A:A,表1[[#This Row],[时间]],B:B,表1[[#This Row],[项目]])</f>
        <v>2</v>
      </c>
    </row>
    <row r="140" spans="1:5" x14ac:dyDescent="0.2">
      <c r="A140" s="54">
        <v>42428</v>
      </c>
      <c r="B140" t="s">
        <v>213</v>
      </c>
      <c r="C140" s="64">
        <v>13</v>
      </c>
      <c r="D140" s="39">
        <f t="shared" ca="1" si="14"/>
        <v>29</v>
      </c>
      <c r="E140" s="55">
        <f>COUNTIFS(A:A,表1[[#This Row],[时间]],B:B,表1[[#This Row],[项目]])</f>
        <v>2</v>
      </c>
    </row>
    <row r="141" spans="1:5" x14ac:dyDescent="0.2">
      <c r="A141" s="54">
        <v>42428</v>
      </c>
      <c r="B141" t="s">
        <v>215</v>
      </c>
      <c r="C141" s="64">
        <v>20</v>
      </c>
      <c r="D141" s="39">
        <f t="shared" ca="1" si="14"/>
        <v>29</v>
      </c>
      <c r="E141" s="55">
        <f>COUNTIFS(A:A,表1[[#This Row],[时间]],B:B,表1[[#This Row],[项目]])</f>
        <v>2</v>
      </c>
    </row>
    <row r="142" spans="1:5" x14ac:dyDescent="0.2">
      <c r="A142" s="54">
        <v>42428</v>
      </c>
      <c r="B142" t="s">
        <v>205</v>
      </c>
      <c r="C142" s="64">
        <v>30</v>
      </c>
      <c r="D142" s="39">
        <f t="shared" ref="D142:D147" ca="1" si="15">TODAY()-ROUNDDOWN(A142,0)</f>
        <v>29</v>
      </c>
      <c r="E142" s="55">
        <f>COUNTIFS(A:A,表1[[#This Row],[时间]],B:B,表1[[#This Row],[项目]])</f>
        <v>2</v>
      </c>
    </row>
    <row r="143" spans="1:5" x14ac:dyDescent="0.2">
      <c r="A143" s="54">
        <v>42428</v>
      </c>
      <c r="B143" t="s">
        <v>207</v>
      </c>
      <c r="C143" s="64">
        <v>13</v>
      </c>
      <c r="D143" s="39">
        <f t="shared" ca="1" si="15"/>
        <v>29</v>
      </c>
      <c r="E143" s="55">
        <f>COUNTIFS(A:A,表1[[#This Row],[时间]],B:B,表1[[#This Row],[项目]])</f>
        <v>2</v>
      </c>
    </row>
    <row r="144" spans="1:5" x14ac:dyDescent="0.2">
      <c r="A144" s="54">
        <v>42428</v>
      </c>
      <c r="B144" t="s">
        <v>209</v>
      </c>
      <c r="C144" s="64">
        <v>13</v>
      </c>
      <c r="D144" s="39">
        <f t="shared" ca="1" si="15"/>
        <v>29</v>
      </c>
      <c r="E144" s="55">
        <f>COUNTIFS(A:A,表1[[#This Row],[时间]],B:B,表1[[#This Row],[项目]])</f>
        <v>2</v>
      </c>
    </row>
    <row r="145" spans="1:5" x14ac:dyDescent="0.2">
      <c r="A145" s="54">
        <v>42428</v>
      </c>
      <c r="B145" t="s">
        <v>211</v>
      </c>
      <c r="C145" s="64">
        <v>20</v>
      </c>
      <c r="D145" s="39">
        <f t="shared" ca="1" si="15"/>
        <v>29</v>
      </c>
      <c r="E145" s="55">
        <f>COUNTIFS(A:A,表1[[#This Row],[时间]],B:B,表1[[#This Row],[项目]])</f>
        <v>2</v>
      </c>
    </row>
    <row r="146" spans="1:5" x14ac:dyDescent="0.2">
      <c r="A146" s="54">
        <v>42428</v>
      </c>
      <c r="B146" t="s">
        <v>213</v>
      </c>
      <c r="C146" s="64">
        <v>15</v>
      </c>
      <c r="D146" s="39">
        <f t="shared" ca="1" si="15"/>
        <v>29</v>
      </c>
      <c r="E146" s="55">
        <f>COUNTIFS(A:A,表1[[#This Row],[时间]],B:B,表1[[#This Row],[项目]])</f>
        <v>2</v>
      </c>
    </row>
    <row r="147" spans="1:5" x14ac:dyDescent="0.2">
      <c r="A147" s="54">
        <v>42428</v>
      </c>
      <c r="B147" t="s">
        <v>215</v>
      </c>
      <c r="C147" s="64">
        <v>20</v>
      </c>
      <c r="D147" s="39">
        <f t="shared" ca="1" si="15"/>
        <v>29</v>
      </c>
      <c r="E147" s="55">
        <f>COUNTIFS(A:A,表1[[#This Row],[时间]],B:B,表1[[#This Row],[项目]])</f>
        <v>2</v>
      </c>
    </row>
    <row r="148" spans="1:5" x14ac:dyDescent="0.2">
      <c r="A148" s="54">
        <v>42430</v>
      </c>
      <c r="B148" t="s">
        <v>218</v>
      </c>
      <c r="C148" s="64">
        <v>12</v>
      </c>
      <c r="D148" s="39">
        <f ca="1">TODAY()-ROUNDDOWN(A148,0)</f>
        <v>27</v>
      </c>
      <c r="E148" s="55">
        <f>COUNTIFS(A:A,表1[[#This Row],[时间]],B:B,表1[[#This Row],[项目]])</f>
        <v>4</v>
      </c>
    </row>
    <row r="149" spans="1:5" x14ac:dyDescent="0.2">
      <c r="A149" s="54">
        <v>42430</v>
      </c>
      <c r="B149" t="s">
        <v>220</v>
      </c>
      <c r="C149" s="64">
        <v>14</v>
      </c>
      <c r="D149" s="39">
        <f ca="1">TODAY()-ROUNDDOWN(A149,0)</f>
        <v>27</v>
      </c>
      <c r="E149" s="55">
        <f>COUNTIFS(A:A,表1[[#This Row],[时间]],B:B,表1[[#This Row],[项目]])</f>
        <v>4</v>
      </c>
    </row>
    <row r="150" spans="1:5" x14ac:dyDescent="0.2">
      <c r="A150" s="54">
        <v>42430</v>
      </c>
      <c r="B150" t="s">
        <v>201</v>
      </c>
      <c r="C150" s="64">
        <v>12</v>
      </c>
      <c r="D150" s="39">
        <f ca="1">TODAY()-ROUNDDOWN(A150,0)</f>
        <v>27</v>
      </c>
      <c r="E150" s="55">
        <f>COUNTIFS(A:A,表1[[#This Row],[时间]],B:B,表1[[#This Row],[项目]])</f>
        <v>3</v>
      </c>
    </row>
    <row r="151" spans="1:5" x14ac:dyDescent="0.2">
      <c r="A151" s="54">
        <v>42430</v>
      </c>
      <c r="B151" t="s">
        <v>218</v>
      </c>
      <c r="C151" s="64">
        <v>15</v>
      </c>
      <c r="D151" s="39">
        <f ca="1">TODAY()-ROUNDDOWN(A151,0)</f>
        <v>27</v>
      </c>
      <c r="E151" s="55">
        <f>COUNTIFS(A:A,表1[[#This Row],[时间]],B:B,表1[[#This Row],[项目]])</f>
        <v>4</v>
      </c>
    </row>
    <row r="152" spans="1:5" x14ac:dyDescent="0.2">
      <c r="A152" s="54">
        <v>42430</v>
      </c>
      <c r="B152" t="s">
        <v>220</v>
      </c>
      <c r="C152" s="64">
        <v>13</v>
      </c>
      <c r="D152" s="39">
        <f ca="1">TODAY()-ROUNDDOWN(A152,0)</f>
        <v>27</v>
      </c>
      <c r="E152" s="55">
        <f>COUNTIFS(A:A,表1[[#This Row],[时间]],B:B,表1[[#This Row],[项目]])</f>
        <v>4</v>
      </c>
    </row>
    <row r="153" spans="1:5" x14ac:dyDescent="0.2">
      <c r="A153" s="54">
        <v>42430</v>
      </c>
      <c r="B153" t="s">
        <v>218</v>
      </c>
      <c r="C153" s="64">
        <v>13</v>
      </c>
      <c r="D153" s="39">
        <f t="shared" ref="D153:D154" ca="1" si="16">TODAY()-ROUNDDOWN(A153,0)</f>
        <v>27</v>
      </c>
      <c r="E153" s="55">
        <f>COUNTIFS(A:A,表1[[#This Row],[时间]],B:B,表1[[#This Row],[项目]])</f>
        <v>4</v>
      </c>
    </row>
    <row r="154" spans="1:5" x14ac:dyDescent="0.2">
      <c r="A154" s="54">
        <v>42430</v>
      </c>
      <c r="B154" t="s">
        <v>220</v>
      </c>
      <c r="C154" s="64">
        <v>15</v>
      </c>
      <c r="D154" s="39">
        <f t="shared" ca="1" si="16"/>
        <v>27</v>
      </c>
      <c r="E154" s="55">
        <f>COUNTIFS(A:A,表1[[#This Row],[时间]],B:B,表1[[#This Row],[项目]])</f>
        <v>4</v>
      </c>
    </row>
    <row r="155" spans="1:5" x14ac:dyDescent="0.2">
      <c r="A155" s="54">
        <v>42430</v>
      </c>
      <c r="B155" s="36" t="s">
        <v>223</v>
      </c>
      <c r="C155" s="64">
        <v>12</v>
      </c>
      <c r="D155" s="39">
        <f ca="1">TODAY()-ROUNDDOWN(A155,0)</f>
        <v>27</v>
      </c>
      <c r="E155" s="55">
        <f>COUNTIFS(A:A,表1[[#This Row],[时间]],B:B,表1[[#This Row],[项目]])</f>
        <v>3</v>
      </c>
    </row>
    <row r="156" spans="1:5" x14ac:dyDescent="0.2">
      <c r="A156" s="54">
        <v>42430</v>
      </c>
      <c r="B156" t="s">
        <v>201</v>
      </c>
      <c r="C156" s="64">
        <v>15</v>
      </c>
      <c r="D156" s="39">
        <f ca="1">TODAY()-ROUNDDOWN(A156,0)</f>
        <v>27</v>
      </c>
      <c r="E156" s="55">
        <f>COUNTIFS(A:A,表1[[#This Row],[时间]],B:B,表1[[#This Row],[项目]])</f>
        <v>3</v>
      </c>
    </row>
    <row r="157" spans="1:5" x14ac:dyDescent="0.2">
      <c r="A157" s="54">
        <v>42430</v>
      </c>
      <c r="B157" t="s">
        <v>218</v>
      </c>
      <c r="C157" s="64">
        <v>12</v>
      </c>
      <c r="D157" s="39">
        <f t="shared" ref="D157:D160" ca="1" si="17">TODAY()-ROUNDDOWN(A157,0)</f>
        <v>27</v>
      </c>
      <c r="E157" s="55">
        <f>COUNTIFS(A:A,表1[[#This Row],[时间]],B:B,表1[[#This Row],[项目]])</f>
        <v>4</v>
      </c>
    </row>
    <row r="158" spans="1:5" x14ac:dyDescent="0.2">
      <c r="A158" s="54">
        <v>42430</v>
      </c>
      <c r="B158" t="s">
        <v>220</v>
      </c>
      <c r="C158" s="64">
        <v>15</v>
      </c>
      <c r="D158" s="39">
        <f t="shared" ca="1" si="17"/>
        <v>27</v>
      </c>
      <c r="E158" s="55">
        <f>COUNTIFS(A:A,表1[[#This Row],[时间]],B:B,表1[[#This Row],[项目]])</f>
        <v>4</v>
      </c>
    </row>
    <row r="159" spans="1:5" x14ac:dyDescent="0.2">
      <c r="A159" s="54">
        <v>42430</v>
      </c>
      <c r="B159" s="36" t="s">
        <v>223</v>
      </c>
      <c r="C159" s="64">
        <v>13</v>
      </c>
      <c r="D159" s="39">
        <f t="shared" ca="1" si="17"/>
        <v>27</v>
      </c>
      <c r="E159" s="55">
        <f>COUNTIFS(A:A,表1[[#This Row],[时间]],B:B,表1[[#This Row],[项目]])</f>
        <v>3</v>
      </c>
    </row>
    <row r="160" spans="1:5" x14ac:dyDescent="0.2">
      <c r="A160" s="54">
        <v>42430</v>
      </c>
      <c r="B160" t="s">
        <v>201</v>
      </c>
      <c r="C160" s="64">
        <v>15</v>
      </c>
      <c r="D160" s="39">
        <f t="shared" ca="1" si="17"/>
        <v>27</v>
      </c>
      <c r="E160" s="55">
        <f>COUNTIFS(A:A,表1[[#This Row],[时间]],B:B,表1[[#This Row],[项目]])</f>
        <v>3</v>
      </c>
    </row>
    <row r="161" spans="1:5" x14ac:dyDescent="0.2">
      <c r="A161" s="54">
        <v>42430</v>
      </c>
      <c r="B161" t="s">
        <v>155</v>
      </c>
      <c r="C161" s="64">
        <v>63</v>
      </c>
      <c r="D161" s="39">
        <f ca="1">TODAY()-ROUNDDOWN(A161,0)</f>
        <v>27</v>
      </c>
      <c r="E161" s="55">
        <f>COUNTIFS(A:A,表1[[#This Row],[时间]],B:B,表1[[#This Row],[项目]])</f>
        <v>1</v>
      </c>
    </row>
    <row r="162" spans="1:5" x14ac:dyDescent="0.2">
      <c r="A162" s="54">
        <v>42430</v>
      </c>
      <c r="B162" s="36" t="s">
        <v>223</v>
      </c>
      <c r="C162" s="64">
        <v>15</v>
      </c>
      <c r="D162" s="39">
        <f ca="1">TODAY()-ROUNDDOWN(A162,0)</f>
        <v>27</v>
      </c>
      <c r="E162" s="55">
        <f>COUNTIFS(A:A,表1[[#This Row],[时间]],B:B,表1[[#This Row],[项目]])</f>
        <v>3</v>
      </c>
    </row>
    <row r="163" spans="1:5" x14ac:dyDescent="0.2">
      <c r="A163" s="54">
        <v>42434</v>
      </c>
      <c r="B163" s="36" t="s">
        <v>187</v>
      </c>
      <c r="C163" s="64">
        <v>15</v>
      </c>
      <c r="D163" s="39">
        <f t="shared" ref="D163:D169" ca="1" si="18">TODAY()-ROUNDDOWN(A163,0)</f>
        <v>23</v>
      </c>
      <c r="E163" s="55">
        <f>COUNTIFS(A:A,表1[[#This Row],[时间]],B:B,表1[[#This Row],[项目]])</f>
        <v>2</v>
      </c>
    </row>
    <row r="164" spans="1:5" x14ac:dyDescent="0.2">
      <c r="A164" s="54">
        <v>42434</v>
      </c>
      <c r="B164" s="36" t="s">
        <v>191</v>
      </c>
      <c r="C164" s="64">
        <v>15</v>
      </c>
      <c r="D164" s="39">
        <f t="shared" ca="1" si="18"/>
        <v>23</v>
      </c>
      <c r="E164" s="55">
        <f>COUNTIFS(A:A,表1[[#This Row],[时间]],B:B,表1[[#This Row],[项目]])</f>
        <v>2</v>
      </c>
    </row>
    <row r="165" spans="1:5" x14ac:dyDescent="0.2">
      <c r="A165" s="54">
        <v>42434</v>
      </c>
      <c r="B165" s="36" t="s">
        <v>197</v>
      </c>
      <c r="C165" s="64">
        <v>13</v>
      </c>
      <c r="D165" s="39">
        <f t="shared" ca="1" si="18"/>
        <v>23</v>
      </c>
      <c r="E165" s="55">
        <f>COUNTIFS(A:A,表1[[#This Row],[时间]],B:B,表1[[#This Row],[项目]])</f>
        <v>2</v>
      </c>
    </row>
    <row r="166" spans="1:5" x14ac:dyDescent="0.2">
      <c r="A166" s="54">
        <v>42434</v>
      </c>
      <c r="B166" s="36" t="s">
        <v>199</v>
      </c>
      <c r="C166" s="64">
        <v>15</v>
      </c>
      <c r="D166" s="39">
        <f t="shared" ca="1" si="18"/>
        <v>23</v>
      </c>
      <c r="E166" s="55">
        <f>COUNTIFS(A:A,表1[[#This Row],[时间]],B:B,表1[[#This Row],[项目]])</f>
        <v>2</v>
      </c>
    </row>
    <row r="167" spans="1:5" x14ac:dyDescent="0.2">
      <c r="A167" s="54">
        <v>42434</v>
      </c>
      <c r="B167" s="36" t="s">
        <v>200</v>
      </c>
      <c r="C167" s="64">
        <v>15</v>
      </c>
      <c r="D167" s="39">
        <f t="shared" ca="1" si="18"/>
        <v>23</v>
      </c>
      <c r="E167" s="55">
        <f>COUNTIFS(A:A,表1[[#This Row],[时间]],B:B,表1[[#This Row],[项目]])</f>
        <v>2</v>
      </c>
    </row>
    <row r="168" spans="1:5" x14ac:dyDescent="0.2">
      <c r="A168" s="54">
        <v>42434</v>
      </c>
      <c r="B168" s="36" t="s">
        <v>202</v>
      </c>
      <c r="C168" s="64">
        <v>15</v>
      </c>
      <c r="D168" s="39">
        <f t="shared" ca="1" si="18"/>
        <v>23</v>
      </c>
      <c r="E168" s="55">
        <f>COUNTIFS(A:A,表1[[#This Row],[时间]],B:B,表1[[#This Row],[项目]])</f>
        <v>2</v>
      </c>
    </row>
    <row r="169" spans="1:5" x14ac:dyDescent="0.2">
      <c r="A169" s="54">
        <v>42434</v>
      </c>
      <c r="B169" s="36" t="s">
        <v>203</v>
      </c>
      <c r="C169" s="64">
        <v>20</v>
      </c>
      <c r="D169" s="39">
        <f t="shared" ca="1" si="18"/>
        <v>23</v>
      </c>
      <c r="E169" s="55">
        <f>COUNTIFS(A:A,表1[[#This Row],[时间]],B:B,表1[[#This Row],[项目]])</f>
        <v>2</v>
      </c>
    </row>
    <row r="170" spans="1:5" x14ac:dyDescent="0.2">
      <c r="A170" s="54">
        <v>42434</v>
      </c>
      <c r="B170" s="36" t="s">
        <v>187</v>
      </c>
      <c r="C170" s="64">
        <v>15</v>
      </c>
      <c r="D170" s="39">
        <f t="shared" ref="D170:D176" ca="1" si="19">TODAY()-ROUNDDOWN(A170,0)</f>
        <v>23</v>
      </c>
      <c r="E170" s="55">
        <f>COUNTIFS(A:A,表1[[#This Row],[时间]],B:B,表1[[#This Row],[项目]])</f>
        <v>2</v>
      </c>
    </row>
    <row r="171" spans="1:5" x14ac:dyDescent="0.2">
      <c r="A171" s="54">
        <v>42434</v>
      </c>
      <c r="B171" s="36" t="s">
        <v>191</v>
      </c>
      <c r="C171" s="64">
        <v>15</v>
      </c>
      <c r="D171" s="39">
        <f t="shared" ca="1" si="19"/>
        <v>23</v>
      </c>
      <c r="E171" s="55">
        <f>COUNTIFS(A:A,表1[[#This Row],[时间]],B:B,表1[[#This Row],[项目]])</f>
        <v>2</v>
      </c>
    </row>
    <row r="172" spans="1:5" x14ac:dyDescent="0.2">
      <c r="A172" s="54">
        <v>42434</v>
      </c>
      <c r="B172" s="36" t="s">
        <v>197</v>
      </c>
      <c r="C172" s="64">
        <v>12</v>
      </c>
      <c r="D172" s="39">
        <f t="shared" ca="1" si="19"/>
        <v>23</v>
      </c>
      <c r="E172" s="55">
        <f>COUNTIFS(A:A,表1[[#This Row],[时间]],B:B,表1[[#This Row],[项目]])</f>
        <v>2</v>
      </c>
    </row>
    <row r="173" spans="1:5" x14ac:dyDescent="0.2">
      <c r="A173" s="54">
        <v>42434</v>
      </c>
      <c r="B173" s="36" t="s">
        <v>199</v>
      </c>
      <c r="C173" s="64">
        <v>15</v>
      </c>
      <c r="D173" s="39">
        <f t="shared" ca="1" si="19"/>
        <v>23</v>
      </c>
      <c r="E173" s="55">
        <f>COUNTIFS(A:A,表1[[#This Row],[时间]],B:B,表1[[#This Row],[项目]])</f>
        <v>2</v>
      </c>
    </row>
    <row r="174" spans="1:5" x14ac:dyDescent="0.2">
      <c r="A174" s="54">
        <v>42434</v>
      </c>
      <c r="B174" s="36" t="s">
        <v>200</v>
      </c>
      <c r="C174" s="64">
        <v>15</v>
      </c>
      <c r="D174" s="39">
        <f t="shared" ca="1" si="19"/>
        <v>23</v>
      </c>
      <c r="E174" s="55">
        <f>COUNTIFS(A:A,表1[[#This Row],[时间]],B:B,表1[[#This Row],[项目]])</f>
        <v>2</v>
      </c>
    </row>
    <row r="175" spans="1:5" x14ac:dyDescent="0.2">
      <c r="A175" s="54">
        <v>42434</v>
      </c>
      <c r="B175" s="36" t="s">
        <v>202</v>
      </c>
      <c r="C175" s="64">
        <v>15</v>
      </c>
      <c r="D175" s="39">
        <f t="shared" ca="1" si="19"/>
        <v>23</v>
      </c>
      <c r="E175" s="55">
        <f>COUNTIFS(A:A,表1[[#This Row],[时间]],B:B,表1[[#This Row],[项目]])</f>
        <v>2</v>
      </c>
    </row>
    <row r="176" spans="1:5" x14ac:dyDescent="0.2">
      <c r="A176" s="54">
        <v>42434</v>
      </c>
      <c r="B176" s="36" t="s">
        <v>203</v>
      </c>
      <c r="C176" s="64">
        <v>12</v>
      </c>
      <c r="D176" s="39">
        <f t="shared" ca="1" si="19"/>
        <v>23</v>
      </c>
      <c r="E176" s="55">
        <f>COUNTIFS(A:A,表1[[#This Row],[时间]],B:B,表1[[#This Row],[项目]])</f>
        <v>2</v>
      </c>
    </row>
    <row r="177" spans="1:5" x14ac:dyDescent="0.2">
      <c r="A177" s="54">
        <v>42441</v>
      </c>
      <c r="B177" s="36" t="s">
        <v>187</v>
      </c>
      <c r="C177" s="64">
        <v>14</v>
      </c>
      <c r="D177" s="39">
        <f t="shared" ref="D177:D178" ca="1" si="20">TODAY()-ROUNDDOWN(A177,0)</f>
        <v>16</v>
      </c>
      <c r="E177" s="55">
        <f>COUNTIFS(A:A,表1[[#This Row],[时间]],B:B,表1[[#This Row],[项目]])</f>
        <v>1</v>
      </c>
    </row>
    <row r="178" spans="1:5" x14ac:dyDescent="0.2">
      <c r="A178" s="54">
        <v>42441</v>
      </c>
      <c r="B178" s="36" t="s">
        <v>191</v>
      </c>
      <c r="C178" s="64">
        <v>14</v>
      </c>
      <c r="D178" s="39">
        <f t="shared" ca="1" si="20"/>
        <v>16</v>
      </c>
      <c r="E178" s="55">
        <f>COUNTIFS(A:A,表1[[#This Row],[时间]],B:B,表1[[#This Row],[项目]])</f>
        <v>1</v>
      </c>
    </row>
    <row r="179" spans="1:5" x14ac:dyDescent="0.2">
      <c r="A179" s="54">
        <v>42442</v>
      </c>
      <c r="B179" s="36" t="s">
        <v>219</v>
      </c>
      <c r="C179" s="64">
        <v>14</v>
      </c>
      <c r="D179" s="39">
        <f t="shared" ref="D179:D180" ca="1" si="21">TODAY()-ROUNDDOWN(A179,0)</f>
        <v>15</v>
      </c>
      <c r="E179" s="55">
        <f>COUNTIFS(A:A,表1[[#This Row],[时间]],B:B,表1[[#This Row],[项目]])</f>
        <v>1</v>
      </c>
    </row>
    <row r="180" spans="1:5" x14ac:dyDescent="0.2">
      <c r="A180" s="54">
        <v>42442</v>
      </c>
      <c r="B180" s="36" t="s">
        <v>221</v>
      </c>
      <c r="C180" s="64">
        <v>14</v>
      </c>
      <c r="D180" s="39">
        <f t="shared" ca="1" si="21"/>
        <v>15</v>
      </c>
      <c r="E180" s="55">
        <f>COUNTIFS(A:A,表1[[#This Row],[时间]],B:B,表1[[#This Row],[项目]])</f>
        <v>1</v>
      </c>
    </row>
    <row r="181" spans="1:5" x14ac:dyDescent="0.2">
      <c r="A181" s="54">
        <v>42442</v>
      </c>
      <c r="B181" s="36" t="s">
        <v>223</v>
      </c>
      <c r="C181" s="64">
        <v>13</v>
      </c>
      <c r="D181" s="39">
        <f ca="1">TODAY()-ROUNDDOWN(A181,0)</f>
        <v>15</v>
      </c>
      <c r="E181" s="55">
        <f>COUNTIFS(A:A,表1[[#This Row],[时间]],B:B,表1[[#This Row],[项目]])</f>
        <v>3</v>
      </c>
    </row>
    <row r="182" spans="1:5" x14ac:dyDescent="0.2">
      <c r="A182" s="54">
        <v>42442</v>
      </c>
      <c r="B182" s="36" t="s">
        <v>232</v>
      </c>
      <c r="C182" s="64">
        <v>15</v>
      </c>
      <c r="D182" s="39">
        <f t="shared" ref="D182:D187" ca="1" si="22">TODAY()-ROUNDDOWN(A182,0)</f>
        <v>15</v>
      </c>
      <c r="E182" s="55">
        <f>COUNTIFS(A:A,表1[[#This Row],[时间]],B:B,表1[[#This Row],[项目]])</f>
        <v>3</v>
      </c>
    </row>
    <row r="183" spans="1:5" x14ac:dyDescent="0.2">
      <c r="A183" s="54">
        <v>42442</v>
      </c>
      <c r="B183" s="36" t="s">
        <v>233</v>
      </c>
      <c r="C183" s="64">
        <v>15</v>
      </c>
      <c r="D183" s="39">
        <f t="shared" ca="1" si="22"/>
        <v>15</v>
      </c>
      <c r="E183" s="55">
        <f>COUNTIFS(A:A,表1[[#This Row],[时间]],B:B,表1[[#This Row],[项目]])</f>
        <v>3</v>
      </c>
    </row>
    <row r="184" spans="1:5" x14ac:dyDescent="0.2">
      <c r="A184" s="54">
        <v>42442</v>
      </c>
      <c r="B184" s="36" t="s">
        <v>234</v>
      </c>
      <c r="C184" s="64">
        <v>15</v>
      </c>
      <c r="D184" s="39">
        <f t="shared" ca="1" si="22"/>
        <v>15</v>
      </c>
      <c r="E184" s="55">
        <f>COUNTIFS(A:A,表1[[#This Row],[时间]],B:B,表1[[#This Row],[项目]])</f>
        <v>3</v>
      </c>
    </row>
    <row r="185" spans="1:5" x14ac:dyDescent="0.2">
      <c r="A185" s="54">
        <v>42442</v>
      </c>
      <c r="B185" s="36" t="s">
        <v>235</v>
      </c>
      <c r="C185" s="64">
        <v>15</v>
      </c>
      <c r="D185" s="39">
        <f t="shared" ca="1" si="22"/>
        <v>15</v>
      </c>
      <c r="E185" s="55">
        <f>COUNTIFS(A:A,表1[[#This Row],[时间]],B:B,表1[[#This Row],[项目]])</f>
        <v>3</v>
      </c>
    </row>
    <row r="186" spans="1:5" x14ac:dyDescent="0.2">
      <c r="A186" s="54">
        <v>42442</v>
      </c>
      <c r="B186" s="36" t="s">
        <v>236</v>
      </c>
      <c r="C186" s="64">
        <v>15</v>
      </c>
      <c r="D186" s="39">
        <f t="shared" ca="1" si="22"/>
        <v>15</v>
      </c>
      <c r="E186" s="55">
        <f>COUNTIFS(A:A,表1[[#This Row],[时间]],B:B,表1[[#This Row],[项目]])</f>
        <v>3</v>
      </c>
    </row>
    <row r="187" spans="1:5" x14ac:dyDescent="0.2">
      <c r="A187" s="54">
        <v>42442</v>
      </c>
      <c r="B187" s="36" t="s">
        <v>237</v>
      </c>
      <c r="C187" s="64">
        <v>15</v>
      </c>
      <c r="D187" s="39">
        <f t="shared" ca="1" si="22"/>
        <v>15</v>
      </c>
      <c r="E187" s="55">
        <f>COUNTIFS(A:A,表1[[#This Row],[时间]],B:B,表1[[#This Row],[项目]])</f>
        <v>3</v>
      </c>
    </row>
    <row r="188" spans="1:5" x14ac:dyDescent="0.2">
      <c r="A188" s="54">
        <v>42442</v>
      </c>
      <c r="B188" s="36" t="s">
        <v>223</v>
      </c>
      <c r="C188" s="64">
        <v>14</v>
      </c>
      <c r="D188" s="39">
        <f t="shared" ref="D188:D194" ca="1" si="23">TODAY()-ROUNDDOWN(A188,0)</f>
        <v>15</v>
      </c>
      <c r="E188" s="55">
        <f>COUNTIFS(A:A,表1[[#This Row],[时间]],B:B,表1[[#This Row],[项目]])</f>
        <v>3</v>
      </c>
    </row>
    <row r="189" spans="1:5" x14ac:dyDescent="0.2">
      <c r="A189" s="54">
        <v>42442</v>
      </c>
      <c r="B189" s="36" t="s">
        <v>232</v>
      </c>
      <c r="C189" s="64">
        <v>27</v>
      </c>
      <c r="D189" s="39">
        <f t="shared" ca="1" si="23"/>
        <v>15</v>
      </c>
      <c r="E189" s="55">
        <f>COUNTIFS(A:A,表1[[#This Row],[时间]],B:B,表1[[#This Row],[项目]])</f>
        <v>3</v>
      </c>
    </row>
    <row r="190" spans="1:5" x14ac:dyDescent="0.2">
      <c r="A190" s="54">
        <v>42442</v>
      </c>
      <c r="B190" s="36" t="s">
        <v>233</v>
      </c>
      <c r="C190" s="64">
        <v>20</v>
      </c>
      <c r="D190" s="39">
        <f t="shared" ca="1" si="23"/>
        <v>15</v>
      </c>
      <c r="E190" s="55">
        <f>COUNTIFS(A:A,表1[[#This Row],[时间]],B:B,表1[[#This Row],[项目]])</f>
        <v>3</v>
      </c>
    </row>
    <row r="191" spans="1:5" x14ac:dyDescent="0.2">
      <c r="A191" s="54">
        <v>42442</v>
      </c>
      <c r="B191" s="36" t="s">
        <v>234</v>
      </c>
      <c r="C191" s="64">
        <v>17</v>
      </c>
      <c r="D191" s="39">
        <f t="shared" ca="1" si="23"/>
        <v>15</v>
      </c>
      <c r="E191" s="55">
        <f>COUNTIFS(A:A,表1[[#This Row],[时间]],B:B,表1[[#This Row],[项目]])</f>
        <v>3</v>
      </c>
    </row>
    <row r="192" spans="1:5" x14ac:dyDescent="0.2">
      <c r="A192" s="54">
        <v>42442</v>
      </c>
      <c r="B192" s="36" t="s">
        <v>235</v>
      </c>
      <c r="C192" s="64">
        <v>16</v>
      </c>
      <c r="D192" s="39">
        <f t="shared" ca="1" si="23"/>
        <v>15</v>
      </c>
      <c r="E192" s="55">
        <f>COUNTIFS(A:A,表1[[#This Row],[时间]],B:B,表1[[#This Row],[项目]])</f>
        <v>3</v>
      </c>
    </row>
    <row r="193" spans="1:5" x14ac:dyDescent="0.2">
      <c r="A193" s="54">
        <v>42442</v>
      </c>
      <c r="B193" s="36" t="s">
        <v>236</v>
      </c>
      <c r="C193" s="64">
        <v>20</v>
      </c>
      <c r="D193" s="39">
        <f t="shared" ca="1" si="23"/>
        <v>15</v>
      </c>
      <c r="E193" s="55">
        <f>COUNTIFS(A:A,表1[[#This Row],[时间]],B:B,表1[[#This Row],[项目]])</f>
        <v>3</v>
      </c>
    </row>
    <row r="194" spans="1:5" x14ac:dyDescent="0.2">
      <c r="A194" s="54">
        <v>42442</v>
      </c>
      <c r="B194" s="36" t="s">
        <v>237</v>
      </c>
      <c r="C194" s="64">
        <v>18</v>
      </c>
      <c r="D194" s="39">
        <f t="shared" ca="1" si="23"/>
        <v>15</v>
      </c>
      <c r="E194" s="55">
        <f>COUNTIFS(A:A,表1[[#This Row],[时间]],B:B,表1[[#This Row],[项目]])</f>
        <v>3</v>
      </c>
    </row>
    <row r="195" spans="1:5" x14ac:dyDescent="0.2">
      <c r="A195" s="54">
        <v>42442</v>
      </c>
      <c r="B195" s="36" t="s">
        <v>230</v>
      </c>
      <c r="C195" s="64">
        <v>20</v>
      </c>
      <c r="D195" s="39">
        <f t="shared" ref="D195:D196" ca="1" si="24">TODAY()-ROUNDDOWN(A195,0)</f>
        <v>15</v>
      </c>
      <c r="E195" s="55">
        <f>COUNTIFS(A:A,表1[[#This Row],[时间]],B:B,表1[[#This Row],[项目]])</f>
        <v>2</v>
      </c>
    </row>
    <row r="196" spans="1:5" x14ac:dyDescent="0.2">
      <c r="A196" s="54">
        <v>42442</v>
      </c>
      <c r="B196" s="36" t="s">
        <v>231</v>
      </c>
      <c r="C196" s="64">
        <v>20</v>
      </c>
      <c r="D196" s="39">
        <f t="shared" ca="1" si="24"/>
        <v>15</v>
      </c>
      <c r="E196" s="55">
        <f>COUNTIFS(A:A,表1[[#This Row],[时间]],B:B,表1[[#This Row],[项目]])</f>
        <v>2</v>
      </c>
    </row>
    <row r="197" spans="1:5" x14ac:dyDescent="0.2">
      <c r="A197" s="54">
        <v>42442</v>
      </c>
      <c r="B197" s="36" t="s">
        <v>223</v>
      </c>
      <c r="C197" s="64">
        <v>12</v>
      </c>
      <c r="D197" s="39">
        <f t="shared" ref="D197:D203" ca="1" si="25">TODAY()-ROUNDDOWN(A197,0)</f>
        <v>15</v>
      </c>
      <c r="E197" s="55">
        <f>COUNTIFS(A:A,表1[[#This Row],[时间]],B:B,表1[[#This Row],[项目]])</f>
        <v>3</v>
      </c>
    </row>
    <row r="198" spans="1:5" x14ac:dyDescent="0.2">
      <c r="A198" s="54">
        <v>42442</v>
      </c>
      <c r="B198" s="36" t="s">
        <v>232</v>
      </c>
      <c r="C198" s="64">
        <v>20</v>
      </c>
      <c r="D198" s="39">
        <f t="shared" ca="1" si="25"/>
        <v>15</v>
      </c>
      <c r="E198" s="55">
        <f>COUNTIFS(A:A,表1[[#This Row],[时间]],B:B,表1[[#This Row],[项目]])</f>
        <v>3</v>
      </c>
    </row>
    <row r="199" spans="1:5" x14ac:dyDescent="0.2">
      <c r="A199" s="54">
        <v>42442</v>
      </c>
      <c r="B199" s="36" t="s">
        <v>233</v>
      </c>
      <c r="C199" s="64">
        <v>14</v>
      </c>
      <c r="D199" s="39">
        <f t="shared" ca="1" si="25"/>
        <v>15</v>
      </c>
      <c r="E199" s="55">
        <f>COUNTIFS(A:A,表1[[#This Row],[时间]],B:B,表1[[#This Row],[项目]])</f>
        <v>3</v>
      </c>
    </row>
    <row r="200" spans="1:5" x14ac:dyDescent="0.2">
      <c r="A200" s="54">
        <v>42442</v>
      </c>
      <c r="B200" s="36" t="s">
        <v>234</v>
      </c>
      <c r="C200" s="64">
        <v>18</v>
      </c>
      <c r="D200" s="39">
        <f t="shared" ca="1" si="25"/>
        <v>15</v>
      </c>
      <c r="E200" s="55">
        <f>COUNTIFS(A:A,表1[[#This Row],[时间]],B:B,表1[[#This Row],[项目]])</f>
        <v>3</v>
      </c>
    </row>
    <row r="201" spans="1:5" x14ac:dyDescent="0.2">
      <c r="A201" s="54">
        <v>42442</v>
      </c>
      <c r="B201" s="36" t="s">
        <v>235</v>
      </c>
      <c r="C201" s="64">
        <v>16</v>
      </c>
      <c r="D201" s="39">
        <f t="shared" ca="1" si="25"/>
        <v>15</v>
      </c>
      <c r="E201" s="55">
        <f>COUNTIFS(A:A,表1[[#This Row],[时间]],B:B,表1[[#This Row],[项目]])</f>
        <v>3</v>
      </c>
    </row>
    <row r="202" spans="1:5" x14ac:dyDescent="0.2">
      <c r="A202" s="54">
        <v>42442</v>
      </c>
      <c r="B202" s="36" t="s">
        <v>236</v>
      </c>
      <c r="C202" s="64">
        <v>20</v>
      </c>
      <c r="D202" s="39">
        <f t="shared" ca="1" si="25"/>
        <v>15</v>
      </c>
      <c r="E202" s="55">
        <f>COUNTIFS(A:A,表1[[#This Row],[时间]],B:B,表1[[#This Row],[项目]])</f>
        <v>3</v>
      </c>
    </row>
    <row r="203" spans="1:5" x14ac:dyDescent="0.2">
      <c r="A203" s="54">
        <v>42442</v>
      </c>
      <c r="B203" s="36" t="s">
        <v>237</v>
      </c>
      <c r="C203" s="64">
        <v>20</v>
      </c>
      <c r="D203" s="39">
        <f t="shared" ca="1" si="25"/>
        <v>15</v>
      </c>
      <c r="E203" s="55">
        <f>COUNTIFS(A:A,表1[[#This Row],[时间]],B:B,表1[[#This Row],[项目]])</f>
        <v>3</v>
      </c>
    </row>
    <row r="204" spans="1:5" x14ac:dyDescent="0.2">
      <c r="A204" s="54">
        <v>42442</v>
      </c>
      <c r="B204" s="36" t="s">
        <v>230</v>
      </c>
      <c r="C204" s="64">
        <v>20</v>
      </c>
      <c r="D204" s="39">
        <f t="shared" ref="D204:D205" ca="1" si="26">TODAY()-ROUNDDOWN(A204,0)</f>
        <v>15</v>
      </c>
      <c r="E204" s="55">
        <f>COUNTIFS(A:A,表1[[#This Row],[时间]],B:B,表1[[#This Row],[项目]])</f>
        <v>2</v>
      </c>
    </row>
    <row r="205" spans="1:5" x14ac:dyDescent="0.2">
      <c r="A205" s="54">
        <v>42442</v>
      </c>
      <c r="B205" s="36" t="s">
        <v>231</v>
      </c>
      <c r="C205" s="64">
        <v>20</v>
      </c>
      <c r="D205" s="39">
        <f t="shared" ca="1" si="26"/>
        <v>15</v>
      </c>
      <c r="E205" s="55">
        <f>COUNTIFS(A:A,表1[[#This Row],[时间]],B:B,表1[[#This Row],[项目]])</f>
        <v>2</v>
      </c>
    </row>
    <row r="206" spans="1:5" x14ac:dyDescent="0.2">
      <c r="A206" s="54">
        <v>42448</v>
      </c>
      <c r="B206" s="36" t="s">
        <v>187</v>
      </c>
      <c r="C206" s="64">
        <v>12</v>
      </c>
      <c r="D206" s="39">
        <f t="shared" ref="D206:D212" ca="1" si="27">TODAY()-ROUNDDOWN(A206,0)</f>
        <v>9</v>
      </c>
      <c r="E206" s="55">
        <f>COUNTIFS(A:A,表1[[#This Row],[时间]],B:B,表1[[#This Row],[项目]])</f>
        <v>3</v>
      </c>
    </row>
    <row r="207" spans="1:5" x14ac:dyDescent="0.2">
      <c r="A207" s="54">
        <v>42448</v>
      </c>
      <c r="B207" s="36" t="s">
        <v>191</v>
      </c>
      <c r="C207" s="64">
        <v>12</v>
      </c>
      <c r="D207" s="39">
        <f t="shared" ca="1" si="27"/>
        <v>9</v>
      </c>
      <c r="E207" s="55">
        <f>COUNTIFS(A:A,表1[[#This Row],[时间]],B:B,表1[[#This Row],[项目]])</f>
        <v>3</v>
      </c>
    </row>
    <row r="208" spans="1:5" x14ac:dyDescent="0.2">
      <c r="A208" s="54">
        <v>42448</v>
      </c>
      <c r="B208" s="36" t="s">
        <v>197</v>
      </c>
      <c r="C208" s="64">
        <v>12</v>
      </c>
      <c r="D208" s="39">
        <f t="shared" ca="1" si="27"/>
        <v>9</v>
      </c>
      <c r="E208" s="55">
        <f>COUNTIFS(A:A,表1[[#This Row],[时间]],B:B,表1[[#This Row],[项目]])</f>
        <v>3</v>
      </c>
    </row>
    <row r="209" spans="1:5" x14ac:dyDescent="0.2">
      <c r="A209" s="54">
        <v>42448</v>
      </c>
      <c r="B209" s="36" t="s">
        <v>199</v>
      </c>
      <c r="C209" s="64">
        <v>17</v>
      </c>
      <c r="D209" s="39">
        <f t="shared" ca="1" si="27"/>
        <v>9</v>
      </c>
      <c r="E209" s="55">
        <f>COUNTIFS(A:A,表1[[#This Row],[时间]],B:B,表1[[#This Row],[项目]])</f>
        <v>3</v>
      </c>
    </row>
    <row r="210" spans="1:5" x14ac:dyDescent="0.2">
      <c r="A210" s="54">
        <v>42448</v>
      </c>
      <c r="B210" s="36" t="s">
        <v>200</v>
      </c>
      <c r="C210" s="64">
        <v>12</v>
      </c>
      <c r="D210" s="39">
        <f t="shared" ca="1" si="27"/>
        <v>9</v>
      </c>
      <c r="E210" s="55">
        <f>COUNTIFS(A:A,表1[[#This Row],[时间]],B:B,表1[[#This Row],[项目]])</f>
        <v>3</v>
      </c>
    </row>
    <row r="211" spans="1:5" x14ac:dyDescent="0.2">
      <c r="A211" s="54">
        <v>42448</v>
      </c>
      <c r="B211" s="36" t="s">
        <v>202</v>
      </c>
      <c r="C211" s="64">
        <v>12</v>
      </c>
      <c r="D211" s="39">
        <f t="shared" ca="1" si="27"/>
        <v>9</v>
      </c>
      <c r="E211" s="55">
        <f>COUNTIFS(A:A,表1[[#This Row],[时间]],B:B,表1[[#This Row],[项目]])</f>
        <v>3</v>
      </c>
    </row>
    <row r="212" spans="1:5" x14ac:dyDescent="0.2">
      <c r="A212" s="54">
        <v>42448</v>
      </c>
      <c r="B212" s="36" t="s">
        <v>203</v>
      </c>
      <c r="C212" s="64">
        <v>15</v>
      </c>
      <c r="D212" s="39">
        <f t="shared" ca="1" si="27"/>
        <v>9</v>
      </c>
      <c r="E212" s="55">
        <f>COUNTIFS(A:A,表1[[#This Row],[时间]],B:B,表1[[#This Row],[项目]])</f>
        <v>3</v>
      </c>
    </row>
    <row r="213" spans="1:5" x14ac:dyDescent="0.2">
      <c r="A213" s="54">
        <v>42448</v>
      </c>
      <c r="B213" s="36" t="s">
        <v>219</v>
      </c>
      <c r="C213" s="64">
        <v>12</v>
      </c>
      <c r="D213" s="39">
        <f ca="1">TODAY()-ROUNDDOWN(A213,0)</f>
        <v>9</v>
      </c>
      <c r="E213" s="55">
        <f>COUNTIFS(A:A,表1[[#This Row],[时间]],B:B,表1[[#This Row],[项目]])</f>
        <v>3</v>
      </c>
    </row>
    <row r="214" spans="1:5" x14ac:dyDescent="0.2">
      <c r="A214" s="54">
        <v>42448</v>
      </c>
      <c r="B214" s="36" t="s">
        <v>187</v>
      </c>
      <c r="C214" s="64">
        <v>12</v>
      </c>
      <c r="D214" s="39">
        <f t="shared" ref="D214:D221" ca="1" si="28">TODAY()-ROUNDDOWN(A214,0)</f>
        <v>9</v>
      </c>
      <c r="E214" s="55">
        <f>COUNTIFS(A:A,表1[[#This Row],[时间]],B:B,表1[[#This Row],[项目]])</f>
        <v>3</v>
      </c>
    </row>
    <row r="215" spans="1:5" x14ac:dyDescent="0.2">
      <c r="A215" s="54">
        <v>42448</v>
      </c>
      <c r="B215" s="36" t="s">
        <v>191</v>
      </c>
      <c r="C215" s="64">
        <v>14</v>
      </c>
      <c r="D215" s="39">
        <f t="shared" ca="1" si="28"/>
        <v>9</v>
      </c>
      <c r="E215" s="55">
        <f>COUNTIFS(A:A,表1[[#This Row],[时间]],B:B,表1[[#This Row],[项目]])</f>
        <v>3</v>
      </c>
    </row>
    <row r="216" spans="1:5" x14ac:dyDescent="0.2">
      <c r="A216" s="54">
        <v>42448</v>
      </c>
      <c r="B216" s="36" t="s">
        <v>197</v>
      </c>
      <c r="C216" s="64">
        <v>10</v>
      </c>
      <c r="D216" s="39">
        <f t="shared" ca="1" si="28"/>
        <v>9</v>
      </c>
      <c r="E216" s="55">
        <f>COUNTIFS(A:A,表1[[#This Row],[时间]],B:B,表1[[#This Row],[项目]])</f>
        <v>3</v>
      </c>
    </row>
    <row r="217" spans="1:5" x14ac:dyDescent="0.2">
      <c r="A217" s="54">
        <v>42448</v>
      </c>
      <c r="B217" s="36" t="s">
        <v>199</v>
      </c>
      <c r="C217" s="64">
        <v>13</v>
      </c>
      <c r="D217" s="39">
        <f t="shared" ca="1" si="28"/>
        <v>9</v>
      </c>
      <c r="E217" s="55">
        <f>COUNTIFS(A:A,表1[[#This Row],[时间]],B:B,表1[[#This Row],[项目]])</f>
        <v>3</v>
      </c>
    </row>
    <row r="218" spans="1:5" x14ac:dyDescent="0.2">
      <c r="A218" s="54">
        <v>42448</v>
      </c>
      <c r="B218" s="36" t="s">
        <v>200</v>
      </c>
      <c r="C218" s="64">
        <v>14</v>
      </c>
      <c r="D218" s="39">
        <f t="shared" ca="1" si="28"/>
        <v>9</v>
      </c>
      <c r="E218" s="55">
        <f>COUNTIFS(A:A,表1[[#This Row],[时间]],B:B,表1[[#This Row],[项目]])</f>
        <v>3</v>
      </c>
    </row>
    <row r="219" spans="1:5" x14ac:dyDescent="0.2">
      <c r="A219" s="54">
        <v>42448</v>
      </c>
      <c r="B219" s="36" t="s">
        <v>202</v>
      </c>
      <c r="C219" s="64">
        <v>12</v>
      </c>
      <c r="D219" s="39">
        <f t="shared" ca="1" si="28"/>
        <v>9</v>
      </c>
      <c r="E219" s="55">
        <f>COUNTIFS(A:A,表1[[#This Row],[时间]],B:B,表1[[#This Row],[项目]])</f>
        <v>3</v>
      </c>
    </row>
    <row r="220" spans="1:5" x14ac:dyDescent="0.2">
      <c r="A220" s="54">
        <v>42448</v>
      </c>
      <c r="B220" s="36" t="s">
        <v>203</v>
      </c>
      <c r="C220" s="64">
        <v>12</v>
      </c>
      <c r="D220" s="39">
        <f t="shared" ca="1" si="28"/>
        <v>9</v>
      </c>
      <c r="E220" s="55">
        <f>COUNTIFS(A:A,表1[[#This Row],[时间]],B:B,表1[[#This Row],[项目]])</f>
        <v>3</v>
      </c>
    </row>
    <row r="221" spans="1:5" x14ac:dyDescent="0.2">
      <c r="A221" s="54">
        <v>42448</v>
      </c>
      <c r="B221" s="36" t="s">
        <v>219</v>
      </c>
      <c r="C221" s="64">
        <v>13</v>
      </c>
      <c r="D221" s="39">
        <f t="shared" ca="1" si="28"/>
        <v>9</v>
      </c>
      <c r="E221" s="55">
        <f>COUNTIFS(A:A,表1[[#This Row],[时间]],B:B,表1[[#This Row],[项目]])</f>
        <v>3</v>
      </c>
    </row>
    <row r="222" spans="1:5" x14ac:dyDescent="0.2">
      <c r="A222" s="54">
        <v>42448</v>
      </c>
      <c r="B222" s="36" t="s">
        <v>187</v>
      </c>
      <c r="C222" s="64">
        <v>12</v>
      </c>
      <c r="D222" s="39">
        <f t="shared" ref="D222:D237" ca="1" si="29">TODAY()-ROUNDDOWN(A222,0)</f>
        <v>9</v>
      </c>
      <c r="E222" s="55">
        <f>COUNTIFS(A:A,表1[[#This Row],[时间]],B:B,表1[[#This Row],[项目]])</f>
        <v>3</v>
      </c>
    </row>
    <row r="223" spans="1:5" x14ac:dyDescent="0.2">
      <c r="A223" s="54">
        <v>42448</v>
      </c>
      <c r="B223" s="36" t="s">
        <v>191</v>
      </c>
      <c r="C223" s="64">
        <v>12</v>
      </c>
      <c r="D223" s="39">
        <f t="shared" ca="1" si="29"/>
        <v>9</v>
      </c>
      <c r="E223" s="55">
        <f>COUNTIFS(A:A,表1[[#This Row],[时间]],B:B,表1[[#This Row],[项目]])</f>
        <v>3</v>
      </c>
    </row>
    <row r="224" spans="1:5" x14ac:dyDescent="0.2">
      <c r="A224" s="54">
        <v>42448</v>
      </c>
      <c r="B224" s="36" t="s">
        <v>197</v>
      </c>
      <c r="C224" s="64">
        <v>10</v>
      </c>
      <c r="D224" s="39">
        <f t="shared" ca="1" si="29"/>
        <v>9</v>
      </c>
      <c r="E224" s="55">
        <f>COUNTIFS(A:A,表1[[#This Row],[时间]],B:B,表1[[#This Row],[项目]])</f>
        <v>3</v>
      </c>
    </row>
    <row r="225" spans="1:10" x14ac:dyDescent="0.2">
      <c r="A225" s="54">
        <v>42448</v>
      </c>
      <c r="B225" s="36" t="s">
        <v>199</v>
      </c>
      <c r="C225" s="64">
        <v>12</v>
      </c>
      <c r="D225" s="39">
        <f t="shared" ca="1" si="29"/>
        <v>9</v>
      </c>
      <c r="E225" s="55">
        <f>COUNTIFS(A:A,表1[[#This Row],[时间]],B:B,表1[[#This Row],[项目]])</f>
        <v>3</v>
      </c>
    </row>
    <row r="226" spans="1:10" x14ac:dyDescent="0.2">
      <c r="A226" s="54">
        <v>42448</v>
      </c>
      <c r="B226" s="36" t="s">
        <v>200</v>
      </c>
      <c r="C226" s="64">
        <v>12</v>
      </c>
      <c r="D226" s="39">
        <f t="shared" ca="1" si="29"/>
        <v>9</v>
      </c>
      <c r="E226" s="55">
        <f>COUNTIFS(A:A,表1[[#This Row],[时间]],B:B,表1[[#This Row],[项目]])</f>
        <v>3</v>
      </c>
    </row>
    <row r="227" spans="1:10" x14ac:dyDescent="0.2">
      <c r="A227" s="54">
        <v>42448</v>
      </c>
      <c r="B227" s="36" t="s">
        <v>202</v>
      </c>
      <c r="C227" s="64">
        <v>12</v>
      </c>
      <c r="D227" s="39">
        <f t="shared" ca="1" si="29"/>
        <v>9</v>
      </c>
      <c r="E227" s="55">
        <f>COUNTIFS(A:A,表1[[#This Row],[时间]],B:B,表1[[#This Row],[项目]])</f>
        <v>3</v>
      </c>
    </row>
    <row r="228" spans="1:10" x14ac:dyDescent="0.2">
      <c r="A228" s="54">
        <v>42448</v>
      </c>
      <c r="B228" s="36" t="s">
        <v>203</v>
      </c>
      <c r="C228" s="64">
        <v>12</v>
      </c>
      <c r="D228" s="39">
        <f t="shared" ca="1" si="29"/>
        <v>9</v>
      </c>
      <c r="E228" s="55">
        <f>COUNTIFS(A:A,表1[[#This Row],[时间]],B:B,表1[[#This Row],[项目]])</f>
        <v>3</v>
      </c>
    </row>
    <row r="229" spans="1:10" x14ac:dyDescent="0.2">
      <c r="A229" s="54">
        <v>42448</v>
      </c>
      <c r="B229" s="36" t="s">
        <v>219</v>
      </c>
      <c r="C229" s="64">
        <v>15</v>
      </c>
      <c r="D229" s="39">
        <f t="shared" ca="1" si="29"/>
        <v>9</v>
      </c>
      <c r="E229" s="55">
        <f>COUNTIFS(A:A,表1[[#This Row],[时间]],B:B,表1[[#This Row],[项目]])</f>
        <v>3</v>
      </c>
    </row>
    <row r="230" spans="1:10" x14ac:dyDescent="0.2">
      <c r="A230" s="54">
        <v>42449</v>
      </c>
      <c r="B230" s="36" t="s">
        <v>223</v>
      </c>
      <c r="C230" s="64">
        <v>12</v>
      </c>
      <c r="D230" s="39">
        <f t="shared" ca="1" si="29"/>
        <v>8</v>
      </c>
      <c r="E230" s="55">
        <f>COUNTIFS(A:A,表1[[#This Row],[时间]],B:B,表1[[#This Row],[项目]])</f>
        <v>5</v>
      </c>
    </row>
    <row r="231" spans="1:10" x14ac:dyDescent="0.2">
      <c r="A231" s="54">
        <v>42449</v>
      </c>
      <c r="B231" s="36" t="s">
        <v>230</v>
      </c>
      <c r="C231" s="64">
        <v>12</v>
      </c>
      <c r="D231" s="39">
        <f t="shared" ca="1" si="29"/>
        <v>8</v>
      </c>
      <c r="E231" s="55">
        <f>COUNTIFS(A:A,表1[[#This Row],[时间]],B:B,表1[[#This Row],[项目]])</f>
        <v>4</v>
      </c>
    </row>
    <row r="232" spans="1:10" x14ac:dyDescent="0.2">
      <c r="A232" s="54">
        <v>42449</v>
      </c>
      <c r="B232" s="36" t="s">
        <v>231</v>
      </c>
      <c r="C232" s="64">
        <v>14</v>
      </c>
      <c r="D232" s="39">
        <f t="shared" ca="1" si="29"/>
        <v>8</v>
      </c>
      <c r="E232" s="55">
        <f>COUNTIFS(A:A,表1[[#This Row],[时间]],B:B,表1[[#This Row],[项目]])</f>
        <v>4</v>
      </c>
    </row>
    <row r="233" spans="1:10" x14ac:dyDescent="0.2">
      <c r="A233" s="54">
        <v>42449</v>
      </c>
      <c r="B233" s="36" t="s">
        <v>240</v>
      </c>
      <c r="C233" s="64">
        <v>12</v>
      </c>
      <c r="D233" s="39">
        <f t="shared" ca="1" si="29"/>
        <v>8</v>
      </c>
      <c r="E233" s="55">
        <f>COUNTIFS(A:A,表1[[#This Row],[时间]],B:B,表1[[#This Row],[项目]])</f>
        <v>4</v>
      </c>
    </row>
    <row r="234" spans="1:10" x14ac:dyDescent="0.2">
      <c r="A234" s="54">
        <v>42449</v>
      </c>
      <c r="B234" s="36" t="s">
        <v>223</v>
      </c>
      <c r="C234" s="64">
        <v>12</v>
      </c>
      <c r="D234" s="39">
        <f t="shared" ca="1" si="29"/>
        <v>8</v>
      </c>
      <c r="E234" s="55">
        <f>COUNTIFS(A:A,表1[[#This Row],[时间]],B:B,表1[[#This Row],[项目]])</f>
        <v>5</v>
      </c>
    </row>
    <row r="235" spans="1:10" x14ac:dyDescent="0.2">
      <c r="A235" s="54">
        <v>42449</v>
      </c>
      <c r="B235" s="36" t="s">
        <v>230</v>
      </c>
      <c r="C235" s="64">
        <v>13</v>
      </c>
      <c r="D235" s="39">
        <f t="shared" ca="1" si="29"/>
        <v>8</v>
      </c>
      <c r="E235" s="55">
        <f>COUNTIFS(A:A,表1[[#This Row],[时间]],B:B,表1[[#This Row],[项目]])</f>
        <v>4</v>
      </c>
    </row>
    <row r="236" spans="1:10" x14ac:dyDescent="0.2">
      <c r="A236" s="54">
        <v>42449</v>
      </c>
      <c r="B236" s="36" t="s">
        <v>231</v>
      </c>
      <c r="C236" s="64">
        <v>13</v>
      </c>
      <c r="D236" s="39">
        <f t="shared" ca="1" si="29"/>
        <v>8</v>
      </c>
      <c r="E236" s="55">
        <f>COUNTIFS(A:A,表1[[#This Row],[时间]],B:B,表1[[#This Row],[项目]])</f>
        <v>4</v>
      </c>
    </row>
    <row r="237" spans="1:10" x14ac:dyDescent="0.2">
      <c r="A237" s="54">
        <v>42449</v>
      </c>
      <c r="B237" s="36" t="s">
        <v>240</v>
      </c>
      <c r="C237" s="64">
        <v>13</v>
      </c>
      <c r="D237" s="39">
        <f t="shared" ca="1" si="29"/>
        <v>8</v>
      </c>
      <c r="E237" s="55">
        <f>COUNTIFS(A:A,表1[[#This Row],[时间]],B:B,表1[[#This Row],[项目]])</f>
        <v>4</v>
      </c>
    </row>
    <row r="238" spans="1:10" x14ac:dyDescent="0.2">
      <c r="A238" s="54">
        <v>42449</v>
      </c>
      <c r="B238" s="36" t="s">
        <v>223</v>
      </c>
      <c r="C238" s="64">
        <v>13</v>
      </c>
      <c r="D238" s="39">
        <f t="shared" ref="D238:D245" ca="1" si="30">TODAY()-ROUNDDOWN(A238,0)</f>
        <v>8</v>
      </c>
      <c r="E238" s="55">
        <f>COUNTIFS(A:A,表1[[#This Row],[时间]],B:B,表1[[#This Row],[项目]])</f>
        <v>5</v>
      </c>
    </row>
    <row r="239" spans="1:10" x14ac:dyDescent="0.2">
      <c r="A239" s="54">
        <v>42449</v>
      </c>
      <c r="B239" s="36" t="s">
        <v>230</v>
      </c>
      <c r="C239" s="64">
        <v>13</v>
      </c>
      <c r="D239" s="39">
        <f t="shared" ca="1" si="30"/>
        <v>8</v>
      </c>
      <c r="E239" s="55">
        <f>COUNTIFS(A:A,表1[[#This Row],[时间]],B:B,表1[[#This Row],[项目]])</f>
        <v>4</v>
      </c>
      <c r="H239" s="63" t="s">
        <v>217</v>
      </c>
      <c r="I239" s="63" t="s">
        <v>140</v>
      </c>
      <c r="J239" s="64"/>
    </row>
    <row r="240" spans="1:10" x14ac:dyDescent="0.2">
      <c r="A240" s="54">
        <v>42449</v>
      </c>
      <c r="B240" s="36" t="s">
        <v>231</v>
      </c>
      <c r="C240" s="64">
        <v>14</v>
      </c>
      <c r="D240" s="39">
        <f t="shared" ca="1" si="30"/>
        <v>8</v>
      </c>
      <c r="E240" s="55">
        <f>COUNTIFS(A:A,表1[[#This Row],[时间]],B:B,表1[[#This Row],[项目]])</f>
        <v>4</v>
      </c>
      <c r="H240" s="63" t="s">
        <v>138</v>
      </c>
      <c r="I240" s="64" t="s">
        <v>245</v>
      </c>
      <c r="J240" s="64" t="s">
        <v>139</v>
      </c>
    </row>
    <row r="241" spans="1:10" x14ac:dyDescent="0.2">
      <c r="A241" s="54">
        <v>42449</v>
      </c>
      <c r="B241" s="36" t="s">
        <v>240</v>
      </c>
      <c r="C241" s="64">
        <v>14</v>
      </c>
      <c r="D241" s="39">
        <f t="shared" ca="1" si="30"/>
        <v>8</v>
      </c>
      <c r="E241" s="55">
        <f>COUNTIFS(A:A,表1[[#This Row],[时间]],B:B,表1[[#This Row],[项目]])</f>
        <v>4</v>
      </c>
      <c r="H241" s="65" t="s">
        <v>198</v>
      </c>
      <c r="I241" s="64">
        <v>44</v>
      </c>
      <c r="J241" s="64">
        <v>44</v>
      </c>
    </row>
    <row r="242" spans="1:10" x14ac:dyDescent="0.2">
      <c r="A242" s="54">
        <v>42449</v>
      </c>
      <c r="B242" s="36" t="s">
        <v>223</v>
      </c>
      <c r="C242" s="64">
        <v>14</v>
      </c>
      <c r="D242" s="39">
        <f t="shared" ca="1" si="30"/>
        <v>8</v>
      </c>
      <c r="E242" s="55">
        <f>COUNTIFS(A:A,表1[[#This Row],[时间]],B:B,表1[[#This Row],[项目]])</f>
        <v>5</v>
      </c>
      <c r="H242" s="65" t="s">
        <v>211</v>
      </c>
      <c r="I242" s="64">
        <v>50</v>
      </c>
      <c r="J242" s="64">
        <v>50</v>
      </c>
    </row>
    <row r="243" spans="1:10" x14ac:dyDescent="0.2">
      <c r="A243" s="54">
        <v>42449</v>
      </c>
      <c r="B243" s="36" t="s">
        <v>230</v>
      </c>
      <c r="C243" s="64">
        <v>14</v>
      </c>
      <c r="D243" s="39">
        <f t="shared" ca="1" si="30"/>
        <v>8</v>
      </c>
      <c r="E243" s="55">
        <f>COUNTIFS(A:A,表1[[#This Row],[时间]],B:B,表1[[#This Row],[项目]])</f>
        <v>4</v>
      </c>
      <c r="H243" s="65" t="s">
        <v>215</v>
      </c>
      <c r="I243" s="64">
        <v>56</v>
      </c>
      <c r="J243" s="64">
        <v>56</v>
      </c>
    </row>
    <row r="244" spans="1:10" x14ac:dyDescent="0.2">
      <c r="A244" s="54">
        <v>42449</v>
      </c>
      <c r="B244" s="36" t="s">
        <v>231</v>
      </c>
      <c r="C244" s="64">
        <v>14</v>
      </c>
      <c r="D244" s="39">
        <f t="shared" ca="1" si="30"/>
        <v>8</v>
      </c>
      <c r="E244" s="55">
        <f>COUNTIFS(A:A,表1[[#This Row],[时间]],B:B,表1[[#This Row],[项目]])</f>
        <v>4</v>
      </c>
      <c r="H244" s="65" t="s">
        <v>246</v>
      </c>
      <c r="I244" s="64">
        <v>37</v>
      </c>
      <c r="J244" s="64">
        <v>37</v>
      </c>
    </row>
    <row r="245" spans="1:10" x14ac:dyDescent="0.2">
      <c r="A245" s="54">
        <v>42449</v>
      </c>
      <c r="B245" s="36" t="s">
        <v>240</v>
      </c>
      <c r="C245" s="64">
        <v>14</v>
      </c>
      <c r="D245" s="39">
        <f t="shared" ca="1" si="30"/>
        <v>8</v>
      </c>
      <c r="E245" s="55">
        <f>COUNTIFS(A:A,表1[[#This Row],[时间]],B:B,表1[[#This Row],[项目]])</f>
        <v>4</v>
      </c>
      <c r="H245" s="65" t="s">
        <v>241</v>
      </c>
      <c r="I245" s="64">
        <v>42</v>
      </c>
      <c r="J245" s="64">
        <v>42</v>
      </c>
    </row>
    <row r="246" spans="1:10" x14ac:dyDescent="0.2">
      <c r="A246" s="54">
        <v>42449</v>
      </c>
      <c r="B246" s="36" t="s">
        <v>223</v>
      </c>
      <c r="C246" s="64">
        <v>14</v>
      </c>
      <c r="D246" s="39">
        <f t="shared" ref="D246" ca="1" si="31">TODAY()-ROUNDDOWN(A246,0)</f>
        <v>8</v>
      </c>
      <c r="E246" s="55">
        <f>COUNTIFS(A:A,表1[[#This Row],[时间]],B:B,表1[[#This Row],[项目]])</f>
        <v>5</v>
      </c>
      <c r="H246" s="65" t="s">
        <v>242</v>
      </c>
      <c r="I246" s="64">
        <v>39</v>
      </c>
      <c r="J246" s="64">
        <v>39</v>
      </c>
    </row>
    <row r="247" spans="1:10" x14ac:dyDescent="0.2">
      <c r="A247" s="54">
        <v>42456</v>
      </c>
      <c r="B247" s="36" t="s">
        <v>223</v>
      </c>
      <c r="C247" s="64">
        <v>12</v>
      </c>
      <c r="D247" s="39">
        <f ca="1">TODAY()-ROUNDDOWN(A247,0)</f>
        <v>1</v>
      </c>
      <c r="E247" s="55">
        <f>COUNTIFS(A:A,表1[[#This Row],[时间]],B:B,表1[[#This Row],[项目]])</f>
        <v>3</v>
      </c>
      <c r="H247" s="65" t="s">
        <v>243</v>
      </c>
      <c r="I247" s="64">
        <v>44</v>
      </c>
      <c r="J247" s="64">
        <v>44</v>
      </c>
    </row>
    <row r="248" spans="1:10" x14ac:dyDescent="0.2">
      <c r="A248" s="54">
        <v>42456</v>
      </c>
      <c r="B248" s="36" t="s">
        <v>240</v>
      </c>
      <c r="C248" s="64">
        <v>16</v>
      </c>
      <c r="D248" s="39">
        <f t="shared" ref="D248:D259" ca="1" si="32">TODAY()-ROUNDDOWN(A248,0)</f>
        <v>1</v>
      </c>
      <c r="E248" s="55">
        <f>COUNTIFS(A:A,表1[[#This Row],[时间]],B:B,表1[[#This Row],[项目]])</f>
        <v>3</v>
      </c>
      <c r="H248" s="65" t="s">
        <v>244</v>
      </c>
      <c r="I248" s="64">
        <v>40</v>
      </c>
      <c r="J248" s="64">
        <v>40</v>
      </c>
    </row>
    <row r="249" spans="1:10" x14ac:dyDescent="0.2">
      <c r="A249" s="54">
        <v>42456</v>
      </c>
      <c r="B249" s="36" t="s">
        <v>241</v>
      </c>
      <c r="C249" s="64">
        <v>15</v>
      </c>
      <c r="D249" s="39">
        <f t="shared" ca="1" si="32"/>
        <v>1</v>
      </c>
      <c r="E249" s="55">
        <f>COUNTIFS(A:A,表1[[#This Row],[时间]],B:B,表1[[#This Row],[项目]])</f>
        <v>3</v>
      </c>
      <c r="H249" s="65" t="s">
        <v>247</v>
      </c>
      <c r="I249" s="64">
        <v>51</v>
      </c>
      <c r="J249" s="64">
        <v>51</v>
      </c>
    </row>
    <row r="250" spans="1:10" x14ac:dyDescent="0.2">
      <c r="A250" s="54">
        <v>42456</v>
      </c>
      <c r="B250" s="36" t="s">
        <v>242</v>
      </c>
      <c r="C250" s="64">
        <v>13</v>
      </c>
      <c r="D250" s="39">
        <f t="shared" ca="1" si="32"/>
        <v>1</v>
      </c>
      <c r="E250" s="55">
        <f>COUNTIFS(A:A,表1[[#This Row],[时间]],B:B,表1[[#This Row],[项目]])</f>
        <v>3</v>
      </c>
      <c r="H250" s="65" t="s">
        <v>139</v>
      </c>
      <c r="I250" s="64">
        <v>403</v>
      </c>
      <c r="J250" s="64">
        <v>403</v>
      </c>
    </row>
    <row r="251" spans="1:10" x14ac:dyDescent="0.2">
      <c r="A251" s="54">
        <v>42456</v>
      </c>
      <c r="B251" s="36" t="s">
        <v>243</v>
      </c>
      <c r="C251" s="64">
        <v>13</v>
      </c>
      <c r="D251" s="39">
        <f t="shared" ca="1" si="32"/>
        <v>1</v>
      </c>
      <c r="E251" s="55">
        <f>COUNTIFS(A:A,表1[[#This Row],[时间]],B:B,表1[[#This Row],[项目]])</f>
        <v>3</v>
      </c>
      <c r="H251"/>
    </row>
    <row r="252" spans="1:10" x14ac:dyDescent="0.2">
      <c r="A252" s="54">
        <v>42456</v>
      </c>
      <c r="B252" s="36" t="s">
        <v>244</v>
      </c>
      <c r="C252" s="64">
        <v>14</v>
      </c>
      <c r="D252" s="39">
        <f t="shared" ca="1" si="32"/>
        <v>1</v>
      </c>
      <c r="E252" s="55">
        <f>COUNTIFS(A:A,表1[[#This Row],[时间]],B:B,表1[[#This Row],[项目]])</f>
        <v>3</v>
      </c>
      <c r="H252"/>
    </row>
    <row r="253" spans="1:10" x14ac:dyDescent="0.2">
      <c r="A253" s="54">
        <v>42456</v>
      </c>
      <c r="B253" s="36" t="s">
        <v>211</v>
      </c>
      <c r="C253" s="64">
        <v>15</v>
      </c>
      <c r="D253" s="39">
        <f t="shared" ca="1" si="32"/>
        <v>1</v>
      </c>
      <c r="E253" s="55">
        <f>COUNTIFS(A:A,表1[[#This Row],[时间]],B:B,表1[[#This Row],[项目]])</f>
        <v>3</v>
      </c>
      <c r="H253"/>
    </row>
    <row r="254" spans="1:10" x14ac:dyDescent="0.2">
      <c r="A254" s="54">
        <v>42456</v>
      </c>
      <c r="B254" s="36" t="s">
        <v>215</v>
      </c>
      <c r="C254" s="64">
        <v>16</v>
      </c>
      <c r="D254" s="39">
        <f t="shared" ca="1" si="32"/>
        <v>1</v>
      </c>
      <c r="E254" s="55">
        <f>COUNTIFS(A:A,表1[[#This Row],[时间]],B:B,表1[[#This Row],[项目]])</f>
        <v>3</v>
      </c>
      <c r="H254"/>
    </row>
    <row r="255" spans="1:10" x14ac:dyDescent="0.2">
      <c r="A255" s="54">
        <v>42456</v>
      </c>
      <c r="B255" s="36" t="s">
        <v>199</v>
      </c>
      <c r="C255" s="64">
        <v>13</v>
      </c>
      <c r="D255" s="39">
        <f t="shared" ca="1" si="32"/>
        <v>1</v>
      </c>
      <c r="E255" s="55">
        <f>COUNTIFS(A:A,表1[[#This Row],[时间]],B:B,表1[[#This Row],[项目]])</f>
        <v>3</v>
      </c>
      <c r="H255"/>
    </row>
    <row r="256" spans="1:10" x14ac:dyDescent="0.2">
      <c r="A256" s="54">
        <v>42456</v>
      </c>
      <c r="B256" s="36" t="s">
        <v>223</v>
      </c>
      <c r="C256" s="64">
        <v>12</v>
      </c>
      <c r="D256" s="39">
        <f t="shared" ca="1" si="32"/>
        <v>1</v>
      </c>
      <c r="E256" s="55">
        <f>COUNTIFS(A:A,表1[[#This Row],[时间]],B:B,表1[[#This Row],[项目]])</f>
        <v>3</v>
      </c>
      <c r="H256"/>
    </row>
    <row r="257" spans="1:8" x14ac:dyDescent="0.2">
      <c r="A257" s="54">
        <v>42456</v>
      </c>
      <c r="B257" s="36" t="s">
        <v>240</v>
      </c>
      <c r="C257" s="64">
        <v>18</v>
      </c>
      <c r="D257" s="39">
        <f t="shared" ca="1" si="32"/>
        <v>1</v>
      </c>
      <c r="E257" s="55">
        <f>COUNTIFS(A:A,表1[[#This Row],[时间]],B:B,表1[[#This Row],[项目]])</f>
        <v>3</v>
      </c>
      <c r="H257"/>
    </row>
    <row r="258" spans="1:8" x14ac:dyDescent="0.2">
      <c r="A258" s="54">
        <v>42456</v>
      </c>
      <c r="B258" s="36" t="s">
        <v>241</v>
      </c>
      <c r="C258" s="64">
        <v>13</v>
      </c>
      <c r="D258" s="39">
        <f t="shared" ca="1" si="32"/>
        <v>1</v>
      </c>
      <c r="E258" s="55">
        <f>COUNTIFS(A:A,表1[[#This Row],[时间]],B:B,表1[[#This Row],[项目]])</f>
        <v>3</v>
      </c>
      <c r="H258"/>
    </row>
    <row r="259" spans="1:8" x14ac:dyDescent="0.2">
      <c r="A259" s="54">
        <v>42456</v>
      </c>
      <c r="B259" s="36" t="s">
        <v>242</v>
      </c>
      <c r="C259" s="64">
        <v>13</v>
      </c>
      <c r="D259" s="39">
        <f t="shared" ca="1" si="32"/>
        <v>1</v>
      </c>
      <c r="E259" s="55">
        <f>COUNTIFS(A:A,表1[[#This Row],[时间]],B:B,表1[[#This Row],[项目]])</f>
        <v>3</v>
      </c>
      <c r="H259"/>
    </row>
    <row r="260" spans="1:8" x14ac:dyDescent="0.2">
      <c r="A260" s="54">
        <v>42456</v>
      </c>
      <c r="B260" s="36" t="s">
        <v>243</v>
      </c>
      <c r="C260" s="64">
        <v>14</v>
      </c>
      <c r="D260" s="39">
        <f t="shared" ref="D260:D264" ca="1" si="33">TODAY()-ROUNDDOWN(A260,0)</f>
        <v>1</v>
      </c>
      <c r="E260" s="55">
        <f>COUNTIFS(A:A,表1[[#This Row],[时间]],B:B,表1[[#This Row],[项目]])</f>
        <v>3</v>
      </c>
    </row>
    <row r="261" spans="1:8" x14ac:dyDescent="0.2">
      <c r="A261" s="54">
        <v>42456</v>
      </c>
      <c r="B261" s="36" t="s">
        <v>244</v>
      </c>
      <c r="C261" s="64">
        <v>13</v>
      </c>
      <c r="D261" s="39">
        <f t="shared" ca="1" si="33"/>
        <v>1</v>
      </c>
      <c r="E261" s="55">
        <f>COUNTIFS(A:A,表1[[#This Row],[时间]],B:B,表1[[#This Row],[项目]])</f>
        <v>3</v>
      </c>
    </row>
    <row r="262" spans="1:8" x14ac:dyDescent="0.2">
      <c r="A262" s="54">
        <v>42456</v>
      </c>
      <c r="B262" s="36" t="s">
        <v>211</v>
      </c>
      <c r="C262" s="64">
        <v>17</v>
      </c>
      <c r="D262" s="39">
        <f t="shared" ca="1" si="33"/>
        <v>1</v>
      </c>
      <c r="E262" s="55">
        <f>COUNTIFS(A:A,表1[[#This Row],[时间]],B:B,表1[[#This Row],[项目]])</f>
        <v>3</v>
      </c>
    </row>
    <row r="263" spans="1:8" x14ac:dyDescent="0.2">
      <c r="A263" s="54">
        <v>42456</v>
      </c>
      <c r="B263" s="36" t="s">
        <v>215</v>
      </c>
      <c r="C263" s="64">
        <v>20</v>
      </c>
      <c r="D263" s="39">
        <f t="shared" ca="1" si="33"/>
        <v>1</v>
      </c>
      <c r="E263" s="55">
        <f>COUNTIFS(A:A,表1[[#This Row],[时间]],B:B,表1[[#This Row],[项目]])</f>
        <v>3</v>
      </c>
    </row>
    <row r="264" spans="1:8" x14ac:dyDescent="0.2">
      <c r="A264" s="54">
        <v>42456</v>
      </c>
      <c r="B264" s="36" t="s">
        <v>199</v>
      </c>
      <c r="C264" s="64">
        <v>15</v>
      </c>
      <c r="D264" s="39">
        <f t="shared" ca="1" si="33"/>
        <v>1</v>
      </c>
      <c r="E264" s="55">
        <f>COUNTIFS(A:A,表1[[#This Row],[时间]],B:B,表1[[#This Row],[项目]])</f>
        <v>3</v>
      </c>
    </row>
    <row r="265" spans="1:8" x14ac:dyDescent="0.2">
      <c r="A265" s="54">
        <v>42456</v>
      </c>
      <c r="B265" s="36" t="s">
        <v>223</v>
      </c>
      <c r="C265" s="64">
        <v>13</v>
      </c>
      <c r="D265" s="39">
        <f t="shared" ref="D265:D273" ca="1" si="34">TODAY()-ROUNDDOWN(A265,0)</f>
        <v>1</v>
      </c>
      <c r="E265" s="55">
        <f>COUNTIFS(A:A,表1[[#This Row],[时间]],B:B,表1[[#This Row],[项目]])</f>
        <v>3</v>
      </c>
    </row>
    <row r="266" spans="1:8" x14ac:dyDescent="0.2">
      <c r="A266" s="54">
        <v>42456</v>
      </c>
      <c r="B266" s="36" t="s">
        <v>240</v>
      </c>
      <c r="C266" s="64">
        <v>17</v>
      </c>
      <c r="D266" s="39">
        <f t="shared" ca="1" si="34"/>
        <v>1</v>
      </c>
      <c r="E266" s="55">
        <f>COUNTIFS(A:A,表1[[#This Row],[时间]],B:B,表1[[#This Row],[项目]])</f>
        <v>3</v>
      </c>
    </row>
    <row r="267" spans="1:8" x14ac:dyDescent="0.2">
      <c r="A267" s="54">
        <v>42456</v>
      </c>
      <c r="B267" s="36" t="s">
        <v>241</v>
      </c>
      <c r="C267" s="64">
        <v>14</v>
      </c>
      <c r="D267" s="39">
        <f t="shared" ca="1" si="34"/>
        <v>1</v>
      </c>
      <c r="E267" s="55">
        <f>COUNTIFS(A:A,表1[[#This Row],[时间]],B:B,表1[[#This Row],[项目]])</f>
        <v>3</v>
      </c>
    </row>
    <row r="268" spans="1:8" x14ac:dyDescent="0.2">
      <c r="A268" s="54">
        <v>42456</v>
      </c>
      <c r="B268" s="36" t="s">
        <v>242</v>
      </c>
      <c r="C268" s="64">
        <v>13</v>
      </c>
      <c r="D268" s="39">
        <f t="shared" ca="1" si="34"/>
        <v>1</v>
      </c>
      <c r="E268" s="55">
        <f>COUNTIFS(A:A,表1[[#This Row],[时间]],B:B,表1[[#This Row],[项目]])</f>
        <v>3</v>
      </c>
    </row>
    <row r="269" spans="1:8" x14ac:dyDescent="0.2">
      <c r="A269" s="54">
        <v>42456</v>
      </c>
      <c r="B269" s="36" t="s">
        <v>243</v>
      </c>
      <c r="C269" s="64">
        <v>17</v>
      </c>
      <c r="D269" s="39">
        <f t="shared" ca="1" si="34"/>
        <v>1</v>
      </c>
      <c r="E269" s="55">
        <f>COUNTIFS(A:A,表1[[#This Row],[时间]],B:B,表1[[#This Row],[项目]])</f>
        <v>3</v>
      </c>
    </row>
    <row r="270" spans="1:8" x14ac:dyDescent="0.2">
      <c r="A270" s="54">
        <v>42456</v>
      </c>
      <c r="B270" s="36" t="s">
        <v>244</v>
      </c>
      <c r="C270" s="64">
        <v>13</v>
      </c>
      <c r="D270" s="39">
        <f t="shared" ca="1" si="34"/>
        <v>1</v>
      </c>
      <c r="E270" s="55">
        <f>COUNTIFS(A:A,表1[[#This Row],[时间]],B:B,表1[[#This Row],[项目]])</f>
        <v>3</v>
      </c>
    </row>
    <row r="271" spans="1:8" x14ac:dyDescent="0.2">
      <c r="A271" s="54">
        <v>42456</v>
      </c>
      <c r="B271" s="36" t="s">
        <v>211</v>
      </c>
      <c r="C271" s="64">
        <v>18</v>
      </c>
      <c r="D271" s="39">
        <f t="shared" ca="1" si="34"/>
        <v>1</v>
      </c>
      <c r="E271" s="55">
        <f>COUNTIFS(A:A,表1[[#This Row],[时间]],B:B,表1[[#This Row],[项目]])</f>
        <v>3</v>
      </c>
    </row>
    <row r="272" spans="1:8" x14ac:dyDescent="0.2">
      <c r="A272" s="54">
        <v>42456</v>
      </c>
      <c r="B272" s="36" t="s">
        <v>215</v>
      </c>
      <c r="C272" s="64">
        <v>20</v>
      </c>
      <c r="D272" s="39">
        <f t="shared" ca="1" si="34"/>
        <v>1</v>
      </c>
      <c r="E272" s="55">
        <f>COUNTIFS(A:A,表1[[#This Row],[时间]],B:B,表1[[#This Row],[项目]])</f>
        <v>3</v>
      </c>
    </row>
    <row r="273" spans="1:5" x14ac:dyDescent="0.2">
      <c r="A273" s="54">
        <v>42456</v>
      </c>
      <c r="B273" s="36" t="s">
        <v>199</v>
      </c>
      <c r="C273" s="64">
        <v>16</v>
      </c>
      <c r="D273" s="39">
        <f t="shared" ca="1" si="34"/>
        <v>1</v>
      </c>
      <c r="E273" s="55">
        <f>COUNTIFS(A:A,表1[[#This Row],[时间]],B:B,表1[[#This Row],[项目]])</f>
        <v>3</v>
      </c>
    </row>
    <row r="274" spans="1:5" x14ac:dyDescent="0.2">
      <c r="A274" s="54">
        <v>42457</v>
      </c>
      <c r="B274" s="36" t="s">
        <v>230</v>
      </c>
      <c r="C274" s="64">
        <v>12</v>
      </c>
      <c r="D274" s="39">
        <f t="shared" ref="D274:D275" ca="1" si="35">TODAY()-ROUNDDOWN(A274,0)</f>
        <v>0</v>
      </c>
      <c r="E274" s="55">
        <f>COUNTIFS(A:A,表1[[#This Row],[时间]],B:B,表1[[#This Row],[项目]])</f>
        <v>2</v>
      </c>
    </row>
    <row r="275" spans="1:5" x14ac:dyDescent="0.2">
      <c r="A275" s="54">
        <v>42457</v>
      </c>
      <c r="B275" s="36" t="s">
        <v>231</v>
      </c>
      <c r="C275" s="64">
        <v>12</v>
      </c>
      <c r="D275" s="39">
        <f t="shared" ca="1" si="35"/>
        <v>0</v>
      </c>
      <c r="E275" s="55">
        <f>COUNTIFS(A:A,表1[[#This Row],[时间]],B:B,表1[[#This Row],[项目]])</f>
        <v>2</v>
      </c>
    </row>
    <row r="276" spans="1:5" x14ac:dyDescent="0.2">
      <c r="A276" s="54">
        <v>42457</v>
      </c>
      <c r="B276" s="36" t="s">
        <v>219</v>
      </c>
      <c r="C276" s="64">
        <v>12</v>
      </c>
      <c r="D276" s="39">
        <f t="shared" ref="D276:D277" ca="1" si="36">TODAY()-ROUNDDOWN(A276,0)</f>
        <v>0</v>
      </c>
      <c r="E276" s="55">
        <f>COUNTIFS(A:A,表1[[#This Row],[时间]],B:B,表1[[#This Row],[项目]])</f>
        <v>2</v>
      </c>
    </row>
    <row r="277" spans="1:5" x14ac:dyDescent="0.2">
      <c r="A277" s="54">
        <v>42457</v>
      </c>
      <c r="B277" s="36" t="s">
        <v>221</v>
      </c>
      <c r="C277" s="64">
        <v>12</v>
      </c>
      <c r="D277" s="39">
        <f t="shared" ca="1" si="36"/>
        <v>0</v>
      </c>
      <c r="E277" s="55">
        <f>COUNTIFS(A:A,表1[[#This Row],[时间]],B:B,表1[[#This Row],[项目]])</f>
        <v>2</v>
      </c>
    </row>
    <row r="278" spans="1:5" x14ac:dyDescent="0.2">
      <c r="A278" s="54">
        <v>42457</v>
      </c>
      <c r="B278" s="36" t="s">
        <v>200</v>
      </c>
      <c r="C278" s="64">
        <v>10</v>
      </c>
      <c r="D278" s="39">
        <f ca="1">TODAY()-ROUNDDOWN(A278,0)</f>
        <v>0</v>
      </c>
      <c r="E278" s="55">
        <f>COUNTIFS(A:A,表1[[#This Row],[时间]],B:B,表1[[#This Row],[项目]])</f>
        <v>2</v>
      </c>
    </row>
    <row r="279" spans="1:5" x14ac:dyDescent="0.2">
      <c r="A279" s="54">
        <v>42457</v>
      </c>
      <c r="B279" t="s">
        <v>132</v>
      </c>
      <c r="C279" s="64">
        <v>12</v>
      </c>
      <c r="D279" s="39">
        <f ca="1">TODAY()-ROUNDDOWN(A279,0)</f>
        <v>0</v>
      </c>
      <c r="E279" s="55">
        <f>COUNTIFS(A:A,表1[[#This Row],[时间]],B:B,表1[[#This Row],[项目]])</f>
        <v>1</v>
      </c>
    </row>
    <row r="280" spans="1:5" x14ac:dyDescent="0.2">
      <c r="A280" s="54">
        <v>42457</v>
      </c>
      <c r="B280" s="36" t="s">
        <v>230</v>
      </c>
      <c r="C280" s="64">
        <v>12</v>
      </c>
      <c r="D280" s="39">
        <f t="shared" ref="D280:D284" ca="1" si="37">TODAY()-ROUNDDOWN(A280,0)</f>
        <v>0</v>
      </c>
      <c r="E280" s="55">
        <f>COUNTIFS(A:A,表1[[#This Row],[时间]],B:B,表1[[#This Row],[项目]])</f>
        <v>2</v>
      </c>
    </row>
    <row r="281" spans="1:5" x14ac:dyDescent="0.2">
      <c r="A281" s="54">
        <v>42457</v>
      </c>
      <c r="B281" s="36" t="s">
        <v>231</v>
      </c>
      <c r="C281" s="64">
        <v>12</v>
      </c>
      <c r="D281" s="39">
        <f t="shared" ca="1" si="37"/>
        <v>0</v>
      </c>
      <c r="E281" s="55">
        <f>COUNTIFS(A:A,表1[[#This Row],[时间]],B:B,表1[[#This Row],[项目]])</f>
        <v>2</v>
      </c>
    </row>
    <row r="282" spans="1:5" x14ac:dyDescent="0.2">
      <c r="A282" s="54">
        <v>42457</v>
      </c>
      <c r="B282" s="36" t="s">
        <v>219</v>
      </c>
      <c r="C282" s="64">
        <v>12</v>
      </c>
      <c r="D282" s="39">
        <f t="shared" ca="1" si="37"/>
        <v>0</v>
      </c>
      <c r="E282" s="55">
        <f>COUNTIFS(A:A,表1[[#This Row],[时间]],B:B,表1[[#This Row],[项目]])</f>
        <v>2</v>
      </c>
    </row>
    <row r="283" spans="1:5" x14ac:dyDescent="0.2">
      <c r="A283" s="54">
        <v>42457</v>
      </c>
      <c r="B283" s="36" t="s">
        <v>221</v>
      </c>
      <c r="C283" s="64">
        <v>12</v>
      </c>
      <c r="D283" s="39">
        <f t="shared" ca="1" si="37"/>
        <v>0</v>
      </c>
      <c r="E283" s="55">
        <f>COUNTIFS(A:A,表1[[#This Row],[时间]],B:B,表1[[#This Row],[项目]])</f>
        <v>2</v>
      </c>
    </row>
    <row r="284" spans="1:5" x14ac:dyDescent="0.2">
      <c r="A284" s="54">
        <v>42457</v>
      </c>
      <c r="B284" s="36" t="s">
        <v>200</v>
      </c>
      <c r="C284" s="64">
        <v>12</v>
      </c>
      <c r="D284" s="39">
        <f t="shared" ca="1" si="37"/>
        <v>0</v>
      </c>
      <c r="E284" s="55">
        <f>COUNTIFS(A:A,表1[[#This Row],[时间]],B:B,表1[[#This Row],[项目]])</f>
        <v>2</v>
      </c>
    </row>
  </sheetData>
  <phoneticPr fontId="10" type="noConversion"/>
  <conditionalFormatting sqref="A1:F1048576">
    <cfRule type="expression" dxfId="0" priority="1">
      <formula>$D1=0</formula>
    </cfRule>
  </conditionalFormatting>
  <pageMargins left="0.7" right="0.7" top="0.75" bottom="0.75" header="0.3" footer="0.3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运动!$B:$B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项目</vt:lpstr>
      <vt:lpstr>学习总体</vt:lpstr>
      <vt:lpstr>学习记录</vt:lpstr>
      <vt:lpstr>运动</vt:lpstr>
      <vt:lpstr>运动记录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zheng Guan</cp:lastModifiedBy>
  <dcterms:created xsi:type="dcterms:W3CDTF">2015-10-12T12:56:00Z</dcterms:created>
  <dcterms:modified xsi:type="dcterms:W3CDTF">2016-03-28T11:38:12Z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