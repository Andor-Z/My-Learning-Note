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11" i="2" l="1"/>
  <c r="I112" i="3" l="1"/>
  <c r="E4" i="2" l="1"/>
  <c r="E15" i="2" l="1"/>
  <c r="E7" i="2" l="1"/>
  <c r="G7" i="2" l="1"/>
  <c r="E3" i="2" l="1"/>
  <c r="E9" i="2" l="1"/>
  <c r="E16" i="2"/>
  <c r="E17" i="2" l="1"/>
  <c r="E22" i="3"/>
  <c r="E18" i="2" l="1"/>
  <c r="E2" i="2"/>
  <c r="E14" i="3" l="1"/>
  <c r="J3" i="1" l="1"/>
  <c r="K3" i="1"/>
  <c r="I3" i="1"/>
  <c r="G3" i="1"/>
  <c r="H3" i="1"/>
  <c r="E13" i="2" l="1"/>
  <c r="E5" i="3" l="1"/>
  <c r="E32" i="2" s="1"/>
  <c r="E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H112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<sst xmlns="http://schemas.openxmlformats.org/spreadsheetml/2006/main" count="341" uniqueCount="171">
  <si>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</si>
  <si>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</si>
  <si>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</si>
  <si>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</si>
  <si>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</si>
  <si>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</si>
  <si>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</si>
  <si>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</si>
  <si>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</si>
  <si>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</si>
  <si>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</si>
  <si>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</si>
  <si>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</si>
  <si>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</si>
  <si>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</si>
  <si>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</si>
  <si>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</si>
  <si>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</si>
  <si>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</si>
  <si>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</si>
  <si>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</si>
  <si>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</si>
  <si>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</si>
  <si>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</si>
  <si>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</si>
  <si>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</si>
  <si>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</si>
  <si>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</si>
  <si>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</si>
  <si>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</si>
  <si>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</si>
  <si>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</si>
  <si>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</si>
  <si>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</si>
  <si>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</si>
  <si>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</si>
  <si>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</si>
  <si>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</si>
  <si>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</si>
  <si>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</si>
  <si>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</si>
  <si>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</si>
  <si>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</si>
  <si>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</si>
  <si>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</si>
  <si>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</si>
  <si>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</si>
  <si>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</si>
  <si>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</si>
  <si>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</si>
  <si>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</si>
  <si>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</si>
  <si>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</si>
  <si>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</si>
  <si>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</si>
  <si>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</si>
  <si>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</si>
  <si>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</si>
  <si>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</si>
  <si>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</si>
  <si>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</si>
  <si>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</si>
  <si>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</si>
  <si>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</si>
  <si>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</si>
  <si>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</si>
  <si>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</si>
  <si>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</si>
  <si>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</si>
  <si>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</si>
  <si>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</si>
  <si>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</si>
  <si>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</si>
  <si>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</si>
  <si>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</si>
  <si>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</si>
  <si>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</si>
  <si>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</si>
  <si>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</si>
  <si>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</si>
  <si>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</si>
  <si>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</si>
  <si>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</si>
  <si>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</si>
  <si>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</si>
  <si>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</si>
  <si>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</si>
  <si>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</si>
  <si>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</si>
  <si>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</si>
  <si>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</si>
  <si>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</si>
  <si>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</si>
  <si>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</si>
  <si>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</si>
  <si>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</si>
  <si>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</si>
  <si>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</si>
  <si>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</si>
  <si>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</si>
  <si>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</si>
  <si>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</si>
  <si>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</si>
  <si>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</si>
  <si>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</si>
  <si>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</si>
  <si>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</si>
  <si>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</si>
  <si>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</si>
  <si>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</si>
  <si>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</si>
  <si>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</si>
  <si>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</si>
  <si>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</si>
  <si>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</si>
  <si>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</si>
  <si>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</si>
  <si>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</si>
  <si>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</si>
  <si>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</si>
  <si>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</si>
  <si>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</si>
  <si>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</si>
  <si>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</si>
  <si>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</si>
  <si>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</si>
  <si>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</si>
  <si>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</si>
  <si>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</si>
  <si>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</si>
  <si>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</si>
  <si>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</si>
  <si>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</si>
  <si>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</si>
  <si>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</si>
  <si>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</si>
  <si>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</si>
  <si>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</si>
  <si>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</si>
  <si>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</si>
  <si>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</si>
  <si>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</si>
  <si>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</si>
  <si>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</si>
  <si>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</si>
  <si>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</si>
  <si>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</si>
  <si>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</si>
  <si>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</si>
  <si>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</si>
  <si>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</si>
  <si>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</si>
  <si>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</si>
  <si>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</si>
  <si>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</si>
  <si>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</si>
  <si>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</si>
  <si>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</si>
  <si>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</si>
  <si>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</si>
  <si>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</si>
  <si>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</si>
  <si>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</si>
  <si>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</si>
  <si>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</si>
  <si>
    <t>9.学习OS SCHED  PY2EXE库</t>
    <phoneticPr fontId="4" type="noConversion"/>
  </si>
  <si>
    <t>分类</t>
  </si>
  <si>
    <t>分类</t>
    <phoneticPr fontId="4" type="noConversion"/>
  </si>
  <si>
    <t>English</t>
  </si>
  <si>
    <t>math-advanced math</t>
  </si>
  <si>
    <t>字帖-英语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</si>
</sst>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2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1"/>
      <tableStyleElement type="headerRow" dxfId="90"/>
    </tableStyle>
    <tableStyle name="学习" table="0" count="12">
      <tableStyleElement type="wholeTable" dxfId="89"/>
      <tableStyleElement type="headerRow" dxfId="88"/>
      <tableStyleElement type="totalRow" dxfId="87"/>
      <tableStyleElement type="firstColumn" dxfId="86"/>
      <tableStyleElement type="secondRowStripe" dxfId="85"/>
      <tableStyleElement type="secondColumnStripe" dxfId="84"/>
      <tableStyleElement type="firstSubtotalColumn" dxfId="83"/>
      <tableStyleElement type="first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1.780490625002" createdVersion="5" refreshedVersion="6" minRefreshableVersion="3" recordCount="97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4T00:00:00" count="39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</sharedItems>
    </cacheField>
    <cacheField name="分类" numFmtId="0">
      <sharedItems count="7">
        <s v="Excel"/>
        <s v="经济学-微观-初级"/>
        <s v="Python"/>
        <s v="VB.NET"/>
        <s v="字帖-英语"/>
        <s v="math-advanced math"/>
        <s v="English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0" maxValue="41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1.780491087964" createdVersion="6" refreshedVersion="6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3" maxValue="18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">
  <r>
    <x v="0"/>
    <x v="0"/>
    <x v="0"/>
    <n v="41"/>
    <d v="1899-12-30T01:00:00"/>
    <m/>
    <m/>
    <m/>
  </r>
  <r>
    <x v="0"/>
    <x v="1"/>
    <x v="1"/>
    <n v="41"/>
    <d v="1899-12-30T01:30:00"/>
    <m/>
    <m/>
    <m/>
  </r>
  <r>
    <x v="1"/>
    <x v="2"/>
    <x v="2"/>
    <n v="40"/>
    <d v="1899-12-30T02:25:00"/>
    <m/>
    <d v="1899-12-30T00:00:00"/>
    <d v="1899-12-30T02:25:00"/>
  </r>
  <r>
    <x v="2"/>
    <x v="3"/>
    <x v="3"/>
    <n v="39"/>
    <d v="1899-12-30T00:21:00"/>
    <m/>
    <d v="1899-12-30T12:45:00"/>
    <d v="1899-12-30T13:06:00"/>
  </r>
  <r>
    <x v="3"/>
    <x v="0"/>
    <x v="0"/>
    <n v="38"/>
    <d v="1899-12-30T01:00:00"/>
    <m/>
    <m/>
    <m/>
  </r>
  <r>
    <x v="3"/>
    <x v="1"/>
    <x v="1"/>
    <n v="38"/>
    <d v="1899-12-30T01:00:00"/>
    <m/>
    <m/>
    <m/>
  </r>
  <r>
    <x v="4"/>
    <x v="0"/>
    <x v="0"/>
    <n v="37"/>
    <d v="1899-12-30T01:30:00"/>
    <m/>
    <m/>
    <m/>
  </r>
  <r>
    <x v="4"/>
    <x v="2"/>
    <x v="4"/>
    <n v="37"/>
    <d v="1899-12-30T00:30:00"/>
    <m/>
    <m/>
    <m/>
  </r>
  <r>
    <x v="5"/>
    <x v="0"/>
    <x v="0"/>
    <n v="36"/>
    <d v="1899-12-30T00:45:00"/>
    <m/>
    <m/>
    <m/>
  </r>
  <r>
    <x v="5"/>
    <x v="1"/>
    <x v="5"/>
    <n v="36"/>
    <d v="1899-12-30T01:05:00"/>
    <m/>
    <m/>
    <m/>
  </r>
  <r>
    <x v="6"/>
    <x v="0"/>
    <x v="0"/>
    <n v="35"/>
    <d v="1899-12-30T01:00:00"/>
    <m/>
    <m/>
    <m/>
  </r>
  <r>
    <x v="7"/>
    <x v="0"/>
    <x v="0"/>
    <n v="34"/>
    <d v="1899-12-30T01:00:00"/>
    <m/>
    <m/>
    <m/>
  </r>
  <r>
    <x v="8"/>
    <x v="2"/>
    <x v="6"/>
    <n v="33"/>
    <d v="1899-12-30T00:53:00"/>
    <m/>
    <d v="1899-12-30T14:37:00"/>
    <d v="1899-12-30T15:30:00"/>
  </r>
  <r>
    <x v="9"/>
    <x v="4"/>
    <x v="7"/>
    <n v="31"/>
    <d v="1899-12-30T00:45:00"/>
    <m/>
    <m/>
    <m/>
  </r>
  <r>
    <x v="10"/>
    <x v="0"/>
    <x v="0"/>
    <n v="30"/>
    <d v="1899-12-30T01:00:00"/>
    <m/>
    <m/>
    <m/>
  </r>
  <r>
    <x v="10"/>
    <x v="4"/>
    <x v="7"/>
    <n v="30"/>
    <d v="1899-12-30T00:30:00"/>
    <m/>
    <m/>
    <m/>
  </r>
  <r>
    <x v="11"/>
    <x v="0"/>
    <x v="0"/>
    <n v="29"/>
    <d v="1899-12-30T01:00:00"/>
    <m/>
    <m/>
    <m/>
  </r>
  <r>
    <x v="11"/>
    <x v="4"/>
    <x v="7"/>
    <n v="29"/>
    <d v="1899-12-30T00:30:00"/>
    <m/>
    <m/>
    <m/>
  </r>
  <r>
    <x v="11"/>
    <x v="1"/>
    <x v="1"/>
    <n v="29"/>
    <d v="1899-12-30T01:00:00"/>
    <m/>
    <m/>
    <m/>
  </r>
  <r>
    <x v="11"/>
    <x v="1"/>
    <x v="5"/>
    <n v="29"/>
    <d v="1899-12-30T01:30:00"/>
    <m/>
    <m/>
    <m/>
  </r>
  <r>
    <x v="11"/>
    <x v="5"/>
    <x v="8"/>
    <n v="29"/>
    <d v="1899-12-30T01:04:00"/>
    <m/>
    <d v="1899-12-30T19:41:00"/>
    <d v="1899-12-30T20:45:00"/>
  </r>
  <r>
    <x v="12"/>
    <x v="0"/>
    <x v="0"/>
    <n v="28"/>
    <d v="1899-12-30T01:10:00"/>
    <m/>
    <m/>
    <m/>
  </r>
  <r>
    <x v="12"/>
    <x v="5"/>
    <x v="9"/>
    <n v="28"/>
    <d v="1899-12-30T00:30:00"/>
    <m/>
    <m/>
    <m/>
  </r>
  <r>
    <x v="12"/>
    <x v="2"/>
    <x v="10"/>
    <n v="28"/>
    <d v="1899-12-30T01:00:00"/>
    <m/>
    <m/>
    <m/>
  </r>
  <r>
    <x v="13"/>
    <x v="0"/>
    <x v="0"/>
    <n v="27"/>
    <d v="1899-12-30T01:00:00"/>
    <m/>
    <m/>
    <m/>
  </r>
  <r>
    <x v="13"/>
    <x v="4"/>
    <x v="7"/>
    <n v="27"/>
    <d v="1899-12-30T00:45:00"/>
    <m/>
    <m/>
    <m/>
  </r>
  <r>
    <x v="13"/>
    <x v="2"/>
    <x v="10"/>
    <n v="27"/>
    <d v="1899-12-30T01:00:00"/>
    <m/>
    <m/>
    <m/>
  </r>
  <r>
    <x v="14"/>
    <x v="5"/>
    <x v="9"/>
    <n v="26"/>
    <d v="1899-12-30T00:30:00"/>
    <m/>
    <m/>
    <m/>
  </r>
  <r>
    <x v="14"/>
    <x v="2"/>
    <x v="10"/>
    <n v="26"/>
    <d v="1899-12-30T02:30:00"/>
    <m/>
    <m/>
    <m/>
  </r>
  <r>
    <x v="15"/>
    <x v="1"/>
    <x v="1"/>
    <n v="25"/>
    <d v="1899-12-30T00:45:00"/>
    <m/>
    <m/>
    <m/>
  </r>
  <r>
    <x v="15"/>
    <x v="1"/>
    <x v="5"/>
    <n v="25"/>
    <d v="1899-12-30T00:30:00"/>
    <m/>
    <m/>
    <m/>
  </r>
  <r>
    <x v="15"/>
    <x v="5"/>
    <x v="9"/>
    <n v="25"/>
    <d v="1899-12-30T00:45:00"/>
    <s v="初步了解mathematica"/>
    <m/>
    <m/>
  </r>
  <r>
    <x v="16"/>
    <x v="2"/>
    <x v="10"/>
    <n v="24"/>
    <d v="1899-12-30T01:00:00"/>
    <m/>
    <m/>
    <m/>
  </r>
  <r>
    <x v="16"/>
    <x v="0"/>
    <x v="0"/>
    <n v="24"/>
    <d v="1899-12-30T01:00:00"/>
    <m/>
    <m/>
    <m/>
  </r>
  <r>
    <x v="16"/>
    <x v="4"/>
    <x v="7"/>
    <n v="24"/>
    <d v="1899-12-30T00:30:00"/>
    <m/>
    <m/>
    <m/>
  </r>
  <r>
    <x v="16"/>
    <x v="6"/>
    <x v="11"/>
    <n v="24"/>
    <d v="1899-12-30T01:15:00"/>
    <m/>
    <m/>
    <m/>
  </r>
  <r>
    <x v="17"/>
    <x v="0"/>
    <x v="0"/>
    <n v="23"/>
    <d v="1899-12-30T00:30:00"/>
    <s v="第24讲是宏表函数，觉得并没有什么用，没怎么看"/>
    <m/>
    <m/>
  </r>
  <r>
    <x v="17"/>
    <x v="4"/>
    <x v="7"/>
    <n v="23"/>
    <d v="1899-12-30T00:30:00"/>
    <m/>
    <m/>
    <m/>
  </r>
  <r>
    <x v="18"/>
    <x v="0"/>
    <x v="12"/>
    <n v="22"/>
    <d v="1899-12-30T01:00:00"/>
    <m/>
    <m/>
    <m/>
  </r>
  <r>
    <x v="18"/>
    <x v="6"/>
    <x v="11"/>
    <n v="22"/>
    <d v="1899-12-30T00:45:00"/>
    <m/>
    <m/>
    <m/>
  </r>
  <r>
    <x v="19"/>
    <x v="6"/>
    <x v="11"/>
    <n v="21"/>
    <d v="1899-12-30T01:00:00"/>
    <m/>
    <m/>
    <m/>
  </r>
  <r>
    <x v="19"/>
    <x v="4"/>
    <x v="7"/>
    <n v="21"/>
    <d v="1899-12-30T00:40:00"/>
    <m/>
    <m/>
    <m/>
  </r>
  <r>
    <x v="20"/>
    <x v="6"/>
    <x v="11"/>
    <n v="20"/>
    <d v="1899-12-30T01:10:00"/>
    <m/>
    <m/>
    <m/>
  </r>
  <r>
    <x v="20"/>
    <x v="4"/>
    <x v="7"/>
    <n v="20"/>
    <d v="1899-12-30T00:30:00"/>
    <m/>
    <m/>
    <m/>
  </r>
  <r>
    <x v="21"/>
    <x v="2"/>
    <x v="13"/>
    <n v="18"/>
    <d v="1899-12-30T02:00:00"/>
    <m/>
    <m/>
    <m/>
  </r>
  <r>
    <x v="22"/>
    <x v="4"/>
    <x v="7"/>
    <n v="17"/>
    <d v="1899-12-30T00:30:00"/>
    <m/>
    <m/>
    <m/>
  </r>
  <r>
    <x v="22"/>
    <x v="0"/>
    <x v="12"/>
    <n v="17"/>
    <d v="1899-12-30T01:00:00"/>
    <m/>
    <m/>
    <m/>
  </r>
  <r>
    <x v="22"/>
    <x v="6"/>
    <x v="11"/>
    <n v="17"/>
    <d v="1899-12-30T00:30:00"/>
    <m/>
    <m/>
    <m/>
  </r>
  <r>
    <x v="22"/>
    <x v="2"/>
    <x v="13"/>
    <n v="17"/>
    <d v="1899-12-30T01:00:00"/>
    <m/>
    <m/>
    <m/>
  </r>
  <r>
    <x v="22"/>
    <x v="2"/>
    <x v="13"/>
    <n v="17"/>
    <d v="1899-12-30T00:30:00"/>
    <m/>
    <m/>
    <m/>
  </r>
  <r>
    <x v="23"/>
    <x v="6"/>
    <x v="11"/>
    <n v="16"/>
    <d v="1899-12-30T00:45:00"/>
    <m/>
    <m/>
    <m/>
  </r>
  <r>
    <x v="23"/>
    <x v="4"/>
    <x v="7"/>
    <n v="16"/>
    <d v="1899-12-30T00:30:00"/>
    <m/>
    <m/>
    <m/>
  </r>
  <r>
    <x v="23"/>
    <x v="0"/>
    <x v="12"/>
    <n v="16"/>
    <d v="1899-12-30T00:45:00"/>
    <m/>
    <m/>
    <m/>
  </r>
  <r>
    <x v="23"/>
    <x v="2"/>
    <x v="14"/>
    <n v="16"/>
    <d v="1899-12-30T01:00:00"/>
    <m/>
    <m/>
    <m/>
  </r>
  <r>
    <x v="24"/>
    <x v="6"/>
    <x v="11"/>
    <n v="15"/>
    <d v="1899-12-30T00:45:00"/>
    <m/>
    <m/>
    <m/>
  </r>
  <r>
    <x v="24"/>
    <x v="4"/>
    <x v="7"/>
    <n v="15"/>
    <d v="1899-12-30T00:30:00"/>
    <m/>
    <m/>
    <m/>
  </r>
  <r>
    <x v="24"/>
    <x v="2"/>
    <x v="13"/>
    <n v="15"/>
    <d v="1899-12-30T00:30:00"/>
    <m/>
    <m/>
    <m/>
  </r>
  <r>
    <x v="25"/>
    <x v="2"/>
    <x v="13"/>
    <n v="14"/>
    <d v="1899-12-30T01:15:00"/>
    <m/>
    <m/>
    <m/>
  </r>
  <r>
    <x v="25"/>
    <x v="6"/>
    <x v="11"/>
    <n v="14"/>
    <d v="1899-12-30T00:30:00"/>
    <m/>
    <m/>
    <m/>
  </r>
  <r>
    <x v="25"/>
    <x v="5"/>
    <x v="9"/>
    <n v="14"/>
    <d v="1899-12-30T00:45:00"/>
    <m/>
    <m/>
    <m/>
  </r>
  <r>
    <x v="25"/>
    <x v="4"/>
    <x v="7"/>
    <n v="14"/>
    <d v="1899-12-30T00:45:00"/>
    <m/>
    <m/>
    <m/>
  </r>
  <r>
    <x v="25"/>
    <x v="0"/>
    <x v="12"/>
    <n v="14"/>
    <d v="1899-12-30T01:00:00"/>
    <m/>
    <m/>
    <m/>
  </r>
  <r>
    <x v="25"/>
    <x v="2"/>
    <x v="14"/>
    <n v="14"/>
    <d v="1899-12-30T02:00:00"/>
    <m/>
    <m/>
    <m/>
  </r>
  <r>
    <x v="26"/>
    <x v="6"/>
    <x v="11"/>
    <n v="13"/>
    <d v="1899-12-30T00:50:00"/>
    <m/>
    <m/>
    <m/>
  </r>
  <r>
    <x v="26"/>
    <x v="4"/>
    <x v="7"/>
    <n v="13"/>
    <d v="1899-12-30T00:40:00"/>
    <m/>
    <m/>
    <m/>
  </r>
  <r>
    <x v="26"/>
    <x v="2"/>
    <x v="10"/>
    <n v="13"/>
    <d v="1899-12-30T00:40:00"/>
    <m/>
    <m/>
    <m/>
  </r>
  <r>
    <x v="26"/>
    <x v="0"/>
    <x v="12"/>
    <n v="13"/>
    <d v="1899-12-30T01:00:00"/>
    <m/>
    <m/>
    <m/>
  </r>
  <r>
    <x v="26"/>
    <x v="2"/>
    <x v="14"/>
    <n v="13"/>
    <d v="1899-12-30T02:00:00"/>
    <m/>
    <m/>
    <m/>
  </r>
  <r>
    <x v="27"/>
    <x v="2"/>
    <x v="14"/>
    <n v="12"/>
    <d v="1899-12-30T01:25:00"/>
    <s v="学习起来比较困难，搁浅"/>
    <m/>
    <m/>
  </r>
  <r>
    <x v="28"/>
    <x v="2"/>
    <x v="13"/>
    <n v="11"/>
    <d v="1899-12-30T00:30:00"/>
    <m/>
    <m/>
    <m/>
  </r>
  <r>
    <x v="28"/>
    <x v="4"/>
    <x v="7"/>
    <n v="11"/>
    <d v="1899-12-30T00:30:00"/>
    <m/>
    <m/>
    <m/>
  </r>
  <r>
    <x v="29"/>
    <x v="4"/>
    <x v="7"/>
    <n v="10"/>
    <d v="1899-12-30T00:35:00"/>
    <m/>
    <m/>
    <m/>
  </r>
  <r>
    <x v="29"/>
    <x v="0"/>
    <x v="12"/>
    <n v="10"/>
    <d v="1899-12-30T00:30:00"/>
    <m/>
    <m/>
    <m/>
  </r>
  <r>
    <x v="29"/>
    <x v="2"/>
    <x v="13"/>
    <n v="10"/>
    <d v="1899-12-30T00:45:00"/>
    <m/>
    <m/>
    <m/>
  </r>
  <r>
    <x v="30"/>
    <x v="4"/>
    <x v="7"/>
    <n v="9"/>
    <d v="1899-12-30T00:45:00"/>
    <m/>
    <m/>
    <m/>
  </r>
  <r>
    <x v="30"/>
    <x v="6"/>
    <x v="11"/>
    <n v="9"/>
    <d v="1899-12-30T01:00:00"/>
    <m/>
    <m/>
    <m/>
  </r>
  <r>
    <x v="31"/>
    <x v="4"/>
    <x v="7"/>
    <n v="8"/>
    <d v="1899-12-30T00:45:00"/>
    <m/>
    <m/>
    <m/>
  </r>
  <r>
    <x v="31"/>
    <x v="6"/>
    <x v="11"/>
    <n v="8"/>
    <d v="1899-12-30T01:00:00"/>
    <m/>
    <m/>
    <m/>
  </r>
  <r>
    <x v="32"/>
    <x v="6"/>
    <x v="11"/>
    <n v="7"/>
    <d v="1899-12-30T01:15:00"/>
    <m/>
    <m/>
    <m/>
  </r>
  <r>
    <x v="32"/>
    <x v="0"/>
    <x v="12"/>
    <n v="7"/>
    <d v="1899-12-30T01:30:00"/>
    <m/>
    <m/>
    <m/>
  </r>
  <r>
    <x v="32"/>
    <x v="5"/>
    <x v="9"/>
    <n v="7"/>
    <d v="1899-12-30T00:30:00"/>
    <m/>
    <m/>
    <m/>
  </r>
  <r>
    <x v="33"/>
    <x v="4"/>
    <x v="7"/>
    <n v="6"/>
    <d v="1899-12-30T00:45:00"/>
    <m/>
    <m/>
    <m/>
  </r>
  <r>
    <x v="34"/>
    <x v="5"/>
    <x v="8"/>
    <n v="4"/>
    <d v="1899-12-30T01:08:00"/>
    <m/>
    <d v="1899-12-30T11:02:00"/>
    <d v="1899-12-30T12:10:00"/>
  </r>
  <r>
    <x v="34"/>
    <x v="5"/>
    <x v="8"/>
    <n v="4"/>
    <d v="1899-12-30T01:00:00"/>
    <m/>
    <m/>
    <m/>
  </r>
  <r>
    <x v="35"/>
    <x v="4"/>
    <x v="7"/>
    <n v="3"/>
    <d v="1899-12-30T00:40:00"/>
    <m/>
    <m/>
    <m/>
  </r>
  <r>
    <x v="35"/>
    <x v="6"/>
    <x v="11"/>
    <n v="3"/>
    <d v="1899-12-30T01:00:00"/>
    <m/>
    <m/>
    <m/>
  </r>
  <r>
    <x v="36"/>
    <x v="6"/>
    <x v="11"/>
    <n v="2"/>
    <d v="1899-12-30T01:00:00"/>
    <m/>
    <m/>
    <m/>
  </r>
  <r>
    <x v="36"/>
    <x v="2"/>
    <x v="15"/>
    <n v="2"/>
    <d v="1899-12-30T01:00:00"/>
    <m/>
    <m/>
    <m/>
  </r>
  <r>
    <x v="36"/>
    <x v="4"/>
    <x v="7"/>
    <n v="2"/>
    <d v="1899-12-30T00:30:00"/>
    <m/>
    <m/>
    <m/>
  </r>
  <r>
    <x v="36"/>
    <x v="2"/>
    <x v="13"/>
    <n v="2"/>
    <d v="1899-12-30T02:00:00"/>
    <s v="9.学习OS SCHED  PY2EXE库"/>
    <m/>
    <m/>
  </r>
  <r>
    <x v="37"/>
    <x v="0"/>
    <x v="12"/>
    <n v="1"/>
    <d v="1899-12-30T01:00:00"/>
    <m/>
    <m/>
    <m/>
  </r>
  <r>
    <x v="37"/>
    <x v="4"/>
    <x v="7"/>
    <n v="1"/>
    <d v="1899-12-30T00:35:00"/>
    <m/>
    <m/>
    <m/>
  </r>
  <r>
    <x v="37"/>
    <x v="6"/>
    <x v="11"/>
    <n v="1"/>
    <d v="1899-12-30T01:00:00"/>
    <m/>
    <m/>
    <m/>
  </r>
  <r>
    <x v="37"/>
    <x v="2"/>
    <x v="13"/>
    <n v="1"/>
    <d v="1899-12-30T01:30:00"/>
    <m/>
    <m/>
    <m/>
  </r>
  <r>
    <x v="38"/>
    <x v="6"/>
    <x v="11"/>
    <n v="0"/>
    <d v="1899-12-30T00:40:00"/>
    <m/>
    <m/>
    <m/>
  </r>
  <r>
    <x v="38"/>
    <x v="4"/>
    <x v="7"/>
    <n v="0"/>
    <d v="1899-12-30T00:45:00"/>
    <m/>
    <m/>
    <m/>
  </r>
  <r>
    <x v="38"/>
    <x v="0"/>
    <x v="12"/>
    <n v="0"/>
    <d v="1899-12-30T00:3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x v="0"/>
    <n v="18"/>
    <n v="30"/>
  </r>
  <r>
    <x v="1"/>
    <x v="1"/>
    <n v="18"/>
    <n v="50"/>
  </r>
  <r>
    <x v="2"/>
    <x v="2"/>
    <n v="18"/>
    <n v="13"/>
  </r>
  <r>
    <x v="3"/>
    <x v="3"/>
    <n v="18"/>
    <n v="10"/>
  </r>
  <r>
    <x v="4"/>
    <x v="0"/>
    <n v="18"/>
    <n v="30"/>
  </r>
  <r>
    <x v="5"/>
    <x v="1"/>
    <n v="18"/>
    <n v="45"/>
  </r>
  <r>
    <x v="6"/>
    <x v="2"/>
    <n v="18"/>
    <n v="20"/>
  </r>
  <r>
    <x v="7"/>
    <x v="3"/>
    <n v="18"/>
    <n v="15"/>
  </r>
  <r>
    <x v="8"/>
    <x v="3"/>
    <n v="16"/>
    <n v="20"/>
  </r>
  <r>
    <x v="8"/>
    <x v="3"/>
    <n v="16"/>
    <n v="15"/>
  </r>
  <r>
    <x v="9"/>
    <x v="1"/>
    <n v="16"/>
    <n v="35"/>
  </r>
  <r>
    <x v="9"/>
    <x v="2"/>
    <n v="16"/>
    <n v="20"/>
  </r>
  <r>
    <x v="9"/>
    <x v="3"/>
    <n v="16"/>
    <n v="15"/>
  </r>
  <r>
    <x v="9"/>
    <x v="0"/>
    <n v="16"/>
    <n v="35"/>
  </r>
  <r>
    <x v="10"/>
    <x v="4"/>
    <n v="15"/>
    <n v="1"/>
  </r>
  <r>
    <x v="11"/>
    <x v="4"/>
    <n v="14"/>
    <n v="1"/>
  </r>
  <r>
    <x v="12"/>
    <x v="3"/>
    <n v="14"/>
    <n v="15"/>
  </r>
  <r>
    <x v="13"/>
    <x v="3"/>
    <n v="13"/>
    <n v="10"/>
  </r>
  <r>
    <x v="13"/>
    <x v="3"/>
    <n v="13"/>
    <n v="15"/>
  </r>
  <r>
    <x v="13"/>
    <x v="3"/>
    <n v="13"/>
    <n v="16"/>
  </r>
  <r>
    <x v="14"/>
    <x v="5"/>
    <n v="11"/>
    <n v="10"/>
  </r>
  <r>
    <x v="14"/>
    <x v="5"/>
    <n v="11"/>
    <n v="10"/>
  </r>
  <r>
    <x v="14"/>
    <x v="5"/>
    <n v="11"/>
    <n v="10"/>
  </r>
  <r>
    <x v="14"/>
    <x v="5"/>
    <n v="11"/>
    <n v="10"/>
  </r>
  <r>
    <x v="15"/>
    <x v="5"/>
    <n v="11"/>
    <n v="10"/>
  </r>
  <r>
    <x v="16"/>
    <x v="4"/>
    <n v="10"/>
    <n v="1"/>
  </r>
  <r>
    <x v="17"/>
    <x v="3"/>
    <n v="10"/>
    <n v="17"/>
  </r>
  <r>
    <x v="18"/>
    <x v="5"/>
    <n v="10"/>
    <n v="20"/>
  </r>
  <r>
    <x v="19"/>
    <x v="5"/>
    <n v="9"/>
    <n v="10"/>
  </r>
  <r>
    <x v="20"/>
    <x v="3"/>
    <n v="9"/>
    <n v="15"/>
  </r>
  <r>
    <x v="21"/>
    <x v="3"/>
    <n v="9"/>
    <n v="18"/>
  </r>
  <r>
    <x v="22"/>
    <x v="3"/>
    <n v="8"/>
    <n v="15"/>
  </r>
  <r>
    <x v="23"/>
    <x v="1"/>
    <n v="6"/>
    <n v="30"/>
  </r>
  <r>
    <x v="24"/>
    <x v="0"/>
    <n v="6"/>
    <n v="40"/>
  </r>
  <r>
    <x v="25"/>
    <x v="6"/>
    <n v="6"/>
    <n v="60"/>
  </r>
  <r>
    <x v="26"/>
    <x v="3"/>
    <n v="6"/>
    <n v="15"/>
  </r>
  <r>
    <x v="27"/>
    <x v="1"/>
    <n v="6"/>
    <n v="40"/>
  </r>
  <r>
    <x v="27"/>
    <x v="0"/>
    <n v="6"/>
    <n v="40"/>
  </r>
  <r>
    <x v="28"/>
    <x v="0"/>
    <n v="5"/>
    <n v="30"/>
  </r>
  <r>
    <x v="28"/>
    <x v="1"/>
    <n v="5"/>
    <n v="35"/>
  </r>
  <r>
    <x v="29"/>
    <x v="3"/>
    <n v="3"/>
    <n v="15"/>
  </r>
  <r>
    <x v="30"/>
    <x v="3"/>
    <n v="3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4:H122" firstHeaderRow="1" firstDataRow="2" firstDataCol="2"/>
  <pivotFields count="8">
    <pivotField axis="axisCol" compact="0" numFmtId="181" outline="0" showAll="0" sortType="descending">
      <items count="40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7">
        <item x="6"/>
        <item x="0"/>
        <item x="5"/>
        <item x="2"/>
        <item x="3"/>
        <item x="1"/>
        <item x="4"/>
      </items>
    </pivotField>
    <pivotField axis="axisRow" compact="0" outline="0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7">
    <i>
      <x/>
      <x v="6"/>
    </i>
    <i>
      <x v="1"/>
      <x/>
    </i>
    <i>
      <x v="2"/>
      <x v="8"/>
    </i>
    <i>
      <x v="3"/>
      <x v="4"/>
    </i>
    <i r="1">
      <x v="16"/>
    </i>
    <i>
      <x v="6"/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9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46">
      <pivotArea dataOnly="0" labelOnly="1" fieldPosition="0">
        <references count="1">
          <reference field="0" count="1">
            <x v="9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98">
  <autoFilter ref="A1:H98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7"/>
    <tableColumn id="2" name="项目"/>
    <tableColumn id="3" name="距离今天" dataDxfId="26">
      <calculatedColumnFormula>TODAY()-ROUNDDOWN(A2,0)</calculatedColumnFormula>
    </tableColumn>
    <tableColumn id="4" name="次数/时长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23</v>
      </c>
      <c r="H3" s="13">
        <f ca="1">H2-TODAY()</f>
        <v>67</v>
      </c>
      <c r="I3" s="13">
        <f ca="1">I2-TODAY()</f>
        <v>127</v>
      </c>
      <c r="J3" s="13">
        <f ca="1">J2-TODAY()</f>
        <v>205</v>
      </c>
      <c r="K3" s="13">
        <f ca="1">K2-TODAY()</f>
        <v>387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77" priority="1">
      <formula>$A1="graduate"</formula>
    </cfRule>
    <cfRule type="expression" dxfId="76" priority="2">
      <formula>$A1="CS"</formula>
    </cfRule>
    <cfRule type="expression" dxfId="75" priority="3">
      <formula>$A1="python"</formula>
    </cfRule>
  </conditionalFormatting>
  <conditionalFormatting sqref="B22:D22">
    <cfRule type="expression" dxfId="74" priority="13">
      <formula>$A30="graduate"</formula>
    </cfRule>
    <cfRule type="expression" dxfId="73" priority="14">
      <formula>$A30="CS"</formula>
    </cfRule>
    <cfRule type="expression" dxfId="72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workbookViewId="0">
      <selection activeCell="C21" sqref="C21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0.58333333333333348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0.64236111111111105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SUMIF(学习记录!C:C,C4,学习记录!E:E)</f>
        <v>0.47916666666666669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SUMIF(学习记录!C:C,C5,学习记录!E:E)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SUMIF(学习记录!C:C,C6,学习记录!E:E)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SUMIF(学习记录!C:C,C7,学习记录!E:E)</f>
        <v>0.38541666666666669</v>
      </c>
      <c r="F7" s="33">
        <v>0.58333333333333337</v>
      </c>
      <c r="G7" s="32">
        <f>E7/F7</f>
        <v>0.6607142857142857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SUMIF(学习记录!C:C,C8,学习记录!E:E)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58" t="s">
        <v>108</v>
      </c>
      <c r="D9" s="4">
        <v>1</v>
      </c>
      <c r="E9" s="5">
        <f>SUMIF(学习记录!C:C,C9,学习记录!E:E)</f>
        <v>0.12499999999999999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SUMIF(学习记录!C:C,C10,学习记录!E:E)</f>
        <v>0.13333333333333339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SUMIF(学习记录!C:C,C11,学习记录!E:E)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SUMIF(学习记录!C:C,C13,学习记录!E:E)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SUMIF(学习记录!C:C,C14,学习记录!E:E)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SUMIF(学习记录!C:C,C15,学习记录!E:E)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SUMIF(学习记录!C:C,C16,学习记录!E:E)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SUMIF(学习记录!C:C,C17,学习记录!E:E)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SUMIF(学习记录!C:C,C21,学习记录!E:E)</f>
        <v>4.1666666666666664E-2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71" priority="6">
      <formula>$D1=1</formula>
    </cfRule>
  </conditionalFormatting>
  <conditionalFormatting sqref="A1:G1048576">
    <cfRule type="expression" dxfId="7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3"/>
  <sheetViews>
    <sheetView tabSelected="1" topLeftCell="A93" workbookViewId="0">
      <selection activeCell="G101" sqref="G101"/>
    </sheetView>
  </sheetViews>
  <sheetFormatPr defaultColWidth="9" defaultRowHeight="14.25" x14ac:dyDescent="0.2"/>
  <cols>
    <col min="1" max="1" width="6.5" style="55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5" t="s">
        <v>31</v>
      </c>
      <c r="B1" s="38" t="s">
        <v>167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 x14ac:dyDescent="0.2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41</v>
      </c>
      <c r="E2" s="34">
        <v>4.1666666666666699E-2</v>
      </c>
    </row>
    <row r="3" spans="1:8" x14ac:dyDescent="0.2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41</v>
      </c>
      <c r="E3" s="34">
        <v>6.25E-2</v>
      </c>
    </row>
    <row r="4" spans="1:8" x14ac:dyDescent="0.2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40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39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38</v>
      </c>
      <c r="E6" s="34">
        <v>4.1666666666666699E-2</v>
      </c>
    </row>
    <row r="7" spans="1:8" x14ac:dyDescent="0.2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38</v>
      </c>
      <c r="E7" s="34">
        <v>4.1666666666666664E-2</v>
      </c>
    </row>
    <row r="8" spans="1:8" x14ac:dyDescent="0.2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37</v>
      </c>
      <c r="E8" s="34">
        <v>6.25E-2</v>
      </c>
    </row>
    <row r="9" spans="1:8" x14ac:dyDescent="0.2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37</v>
      </c>
      <c r="E9" s="34">
        <v>2.0833333333333332E-2</v>
      </c>
    </row>
    <row r="10" spans="1:8" x14ac:dyDescent="0.2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36</v>
      </c>
      <c r="E10" s="34">
        <v>3.125E-2</v>
      </c>
    </row>
    <row r="11" spans="1:8" x14ac:dyDescent="0.2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36</v>
      </c>
      <c r="E11" s="34">
        <v>4.5138888888888888E-2</v>
      </c>
    </row>
    <row r="12" spans="1:8" x14ac:dyDescent="0.2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35</v>
      </c>
      <c r="E12" s="34">
        <v>4.1666666666666664E-2</v>
      </c>
    </row>
    <row r="13" spans="1:8" x14ac:dyDescent="0.2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34</v>
      </c>
      <c r="E13" s="34">
        <v>4.1666666666666664E-2</v>
      </c>
    </row>
    <row r="14" spans="1:8" x14ac:dyDescent="0.2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33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31</v>
      </c>
      <c r="E15" s="34">
        <v>3.125E-2</v>
      </c>
    </row>
    <row r="16" spans="1:8" x14ac:dyDescent="0.2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30</v>
      </c>
      <c r="E16" s="34">
        <v>4.1666666666666664E-2</v>
      </c>
    </row>
    <row r="17" spans="1:8" x14ac:dyDescent="0.2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30</v>
      </c>
      <c r="E17" s="34">
        <v>2.0833333333333332E-2</v>
      </c>
    </row>
    <row r="18" spans="1:8" x14ac:dyDescent="0.2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29</v>
      </c>
      <c r="E18" s="34">
        <v>4.1666666666666664E-2</v>
      </c>
    </row>
    <row r="19" spans="1:8" x14ac:dyDescent="0.2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29</v>
      </c>
      <c r="E19" s="34">
        <v>2.0833333333333332E-2</v>
      </c>
    </row>
    <row r="20" spans="1:8" x14ac:dyDescent="0.2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29</v>
      </c>
      <c r="E20" s="34">
        <v>4.1666666666666664E-2</v>
      </c>
    </row>
    <row r="21" spans="1:8" x14ac:dyDescent="0.2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29</v>
      </c>
      <c r="E21" s="34">
        <v>6.25E-2</v>
      </c>
    </row>
    <row r="22" spans="1:8" x14ac:dyDescent="0.2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29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28</v>
      </c>
      <c r="E23" s="34">
        <v>4.8611111111111112E-2</v>
      </c>
    </row>
    <row r="24" spans="1:8" x14ac:dyDescent="0.2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28</v>
      </c>
      <c r="E24" s="34">
        <v>2.0833333333333332E-2</v>
      </c>
    </row>
    <row r="25" spans="1:8" x14ac:dyDescent="0.2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28</v>
      </c>
      <c r="E25" s="34">
        <v>4.1666666666666664E-2</v>
      </c>
    </row>
    <row r="26" spans="1:8" x14ac:dyDescent="0.2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27</v>
      </c>
      <c r="E26" s="34">
        <v>4.1666666666666664E-2</v>
      </c>
    </row>
    <row r="27" spans="1:8" x14ac:dyDescent="0.2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27</v>
      </c>
      <c r="E27" s="34">
        <v>3.125E-2</v>
      </c>
    </row>
    <row r="28" spans="1:8" x14ac:dyDescent="0.2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27</v>
      </c>
      <c r="E28" s="34">
        <v>4.1666666666666664E-2</v>
      </c>
    </row>
    <row r="29" spans="1:8" x14ac:dyDescent="0.2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26</v>
      </c>
      <c r="E29" s="34">
        <v>2.0833333333333332E-2</v>
      </c>
    </row>
    <row r="30" spans="1:8" x14ac:dyDescent="0.2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26</v>
      </c>
      <c r="E30" s="34">
        <v>0.10416666666666667</v>
      </c>
      <c r="F30" s="43"/>
    </row>
    <row r="31" spans="1:8" x14ac:dyDescent="0.2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25</v>
      </c>
      <c r="E31" s="34">
        <v>3.125E-2</v>
      </c>
    </row>
    <row r="32" spans="1:8" x14ac:dyDescent="0.2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25</v>
      </c>
      <c r="E32" s="34">
        <v>2.0833333333333332E-2</v>
      </c>
    </row>
    <row r="33" spans="1:6" x14ac:dyDescent="0.2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25</v>
      </c>
      <c r="E33" s="34">
        <v>3.125E-2</v>
      </c>
      <c r="F33" s="43" t="s">
        <v>114</v>
      </c>
    </row>
    <row r="34" spans="1:6" x14ac:dyDescent="0.2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24</v>
      </c>
      <c r="E34" s="37">
        <v>4.1666666666666664E-2</v>
      </c>
    </row>
    <row r="35" spans="1:6" x14ac:dyDescent="0.2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24</v>
      </c>
      <c r="E35" s="34">
        <v>4.1666666666666664E-2</v>
      </c>
    </row>
    <row r="36" spans="1:6" x14ac:dyDescent="0.2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24</v>
      </c>
      <c r="E36" s="34">
        <v>2.0833333333333332E-2</v>
      </c>
    </row>
    <row r="37" spans="1:6" x14ac:dyDescent="0.2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24</v>
      </c>
      <c r="E37" s="34">
        <v>5.2083333333333336E-2</v>
      </c>
    </row>
    <row r="38" spans="1:6" ht="15.75" customHeight="1" x14ac:dyDescent="0.2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23</v>
      </c>
      <c r="E38" s="34">
        <v>2.0833333333333332E-2</v>
      </c>
      <c r="F38" s="46" t="s">
        <v>122</v>
      </c>
    </row>
    <row r="39" spans="1:6" x14ac:dyDescent="0.2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23</v>
      </c>
      <c r="E39" s="34">
        <v>2.0833333333333332E-2</v>
      </c>
    </row>
    <row r="40" spans="1:6" x14ac:dyDescent="0.2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22</v>
      </c>
      <c r="E40" s="34">
        <v>4.1666666666666664E-2</v>
      </c>
    </row>
    <row r="41" spans="1:6" x14ac:dyDescent="0.2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22</v>
      </c>
      <c r="E41" s="34">
        <v>3.125E-2</v>
      </c>
    </row>
    <row r="42" spans="1:6" x14ac:dyDescent="0.2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21</v>
      </c>
      <c r="E42" s="34">
        <v>4.1666666666666664E-2</v>
      </c>
    </row>
    <row r="43" spans="1:6" x14ac:dyDescent="0.2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21</v>
      </c>
      <c r="E43" s="34">
        <v>2.7777777777777776E-2</v>
      </c>
    </row>
    <row r="44" spans="1:6" x14ac:dyDescent="0.2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20</v>
      </c>
      <c r="E44" s="34">
        <v>4.8611111111111112E-2</v>
      </c>
    </row>
    <row r="45" spans="1:6" x14ac:dyDescent="0.2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20</v>
      </c>
      <c r="E45" s="34">
        <v>2.0833333333333332E-2</v>
      </c>
    </row>
    <row r="46" spans="1:6" x14ac:dyDescent="0.2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18</v>
      </c>
      <c r="E46" s="34">
        <v>8.3333333333333329E-2</v>
      </c>
    </row>
    <row r="47" spans="1:6" x14ac:dyDescent="0.2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17</v>
      </c>
      <c r="E47" s="34">
        <v>2.0833333333333332E-2</v>
      </c>
    </row>
    <row r="48" spans="1:6" x14ac:dyDescent="0.2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17</v>
      </c>
      <c r="E48" s="34">
        <v>4.1666666666666664E-2</v>
      </c>
    </row>
    <row r="49" spans="1:5" x14ac:dyDescent="0.2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17</v>
      </c>
      <c r="E49" s="34">
        <v>2.0833333333333332E-2</v>
      </c>
    </row>
    <row r="50" spans="1:5" x14ac:dyDescent="0.2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17</v>
      </c>
      <c r="E50" s="34">
        <v>4.1666666666666664E-2</v>
      </c>
    </row>
    <row r="51" spans="1:5" x14ac:dyDescent="0.2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17</v>
      </c>
      <c r="E51" s="34">
        <v>2.0833333333333332E-2</v>
      </c>
    </row>
    <row r="52" spans="1:5" x14ac:dyDescent="0.2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16</v>
      </c>
      <c r="E52" s="34">
        <v>3.125E-2</v>
      </c>
    </row>
    <row r="53" spans="1:5" x14ac:dyDescent="0.2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16</v>
      </c>
      <c r="E53" s="34">
        <v>2.0833333333333332E-2</v>
      </c>
    </row>
    <row r="54" spans="1:5" x14ac:dyDescent="0.2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16</v>
      </c>
      <c r="E54" s="34">
        <v>3.125E-2</v>
      </c>
    </row>
    <row r="55" spans="1:5" x14ac:dyDescent="0.2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16</v>
      </c>
      <c r="E55" s="34">
        <v>4.1666666666666664E-2</v>
      </c>
    </row>
    <row r="56" spans="1:5" x14ac:dyDescent="0.2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15</v>
      </c>
      <c r="E56" s="34">
        <v>3.125E-2</v>
      </c>
    </row>
    <row r="57" spans="1:5" x14ac:dyDescent="0.2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15</v>
      </c>
      <c r="E57" s="34">
        <v>2.0833333333333332E-2</v>
      </c>
    </row>
    <row r="58" spans="1:5" x14ac:dyDescent="0.2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15</v>
      </c>
      <c r="E58" s="34">
        <v>2.0833333333333332E-2</v>
      </c>
    </row>
    <row r="59" spans="1:5" x14ac:dyDescent="0.2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14</v>
      </c>
      <c r="E59" s="34">
        <v>5.2083333333333336E-2</v>
      </c>
    </row>
    <row r="60" spans="1:5" x14ac:dyDescent="0.2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14</v>
      </c>
      <c r="E60" s="34">
        <v>2.0833333333333332E-2</v>
      </c>
    </row>
    <row r="61" spans="1:5" x14ac:dyDescent="0.2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14</v>
      </c>
      <c r="E61" s="34">
        <v>3.125E-2</v>
      </c>
    </row>
    <row r="62" spans="1:5" x14ac:dyDescent="0.2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14</v>
      </c>
      <c r="E62" s="34">
        <v>3.125E-2</v>
      </c>
    </row>
    <row r="63" spans="1:5" x14ac:dyDescent="0.2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14</v>
      </c>
      <c r="E63" s="34">
        <v>4.1666666666666664E-2</v>
      </c>
    </row>
    <row r="64" spans="1:5" x14ac:dyDescent="0.2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14</v>
      </c>
      <c r="E64" s="34">
        <v>8.3333333333333329E-2</v>
      </c>
    </row>
    <row r="65" spans="1:6" x14ac:dyDescent="0.2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13</v>
      </c>
      <c r="E65" s="34">
        <v>3.4722222222222224E-2</v>
      </c>
    </row>
    <row r="66" spans="1:6" x14ac:dyDescent="0.2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13</v>
      </c>
      <c r="E66" s="34">
        <v>2.7777777777777776E-2</v>
      </c>
    </row>
    <row r="67" spans="1:6" x14ac:dyDescent="0.2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13</v>
      </c>
      <c r="E67" s="34">
        <v>2.7777777777777776E-2</v>
      </c>
    </row>
    <row r="68" spans="1:6" x14ac:dyDescent="0.2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13</v>
      </c>
      <c r="E68" s="34">
        <v>4.1666666666666664E-2</v>
      </c>
    </row>
    <row r="69" spans="1:6" x14ac:dyDescent="0.2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13</v>
      </c>
      <c r="E69" s="34">
        <v>8.3333333333333329E-2</v>
      </c>
    </row>
    <row r="70" spans="1:6" x14ac:dyDescent="0.2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12</v>
      </c>
      <c r="E70" s="34">
        <v>5.9027777777777783E-2</v>
      </c>
      <c r="F70" s="43" t="s">
        <v>160</v>
      </c>
    </row>
    <row r="71" spans="1:6" x14ac:dyDescent="0.2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11</v>
      </c>
      <c r="E71" s="34">
        <v>2.0833333333333332E-2</v>
      </c>
    </row>
    <row r="72" spans="1:6" x14ac:dyDescent="0.2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11</v>
      </c>
      <c r="E72" s="34">
        <v>2.0833333333333332E-2</v>
      </c>
    </row>
    <row r="73" spans="1:6" x14ac:dyDescent="0.2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10</v>
      </c>
      <c r="E73" s="34">
        <v>2.4305555555555556E-2</v>
      </c>
    </row>
    <row r="74" spans="1:6" x14ac:dyDescent="0.2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10</v>
      </c>
      <c r="E74" s="34">
        <v>2.0833333333333332E-2</v>
      </c>
    </row>
    <row r="75" spans="1:6" x14ac:dyDescent="0.2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10</v>
      </c>
      <c r="E75" s="34">
        <v>3.125E-2</v>
      </c>
    </row>
    <row r="76" spans="1:6" x14ac:dyDescent="0.2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9</v>
      </c>
      <c r="E76" s="34">
        <v>3.125E-2</v>
      </c>
    </row>
    <row r="77" spans="1:6" x14ac:dyDescent="0.2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9</v>
      </c>
      <c r="E77" s="34">
        <v>4.1666666666666664E-2</v>
      </c>
    </row>
    <row r="78" spans="1:6" x14ac:dyDescent="0.2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8</v>
      </c>
      <c r="E78" s="34">
        <v>3.125E-2</v>
      </c>
    </row>
    <row r="79" spans="1:6" x14ac:dyDescent="0.2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8</v>
      </c>
      <c r="E79" s="34">
        <v>4.1666666666666664E-2</v>
      </c>
    </row>
    <row r="80" spans="1:6" x14ac:dyDescent="0.2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7</v>
      </c>
      <c r="E80" s="34">
        <v>5.2083333333333336E-2</v>
      </c>
    </row>
    <row r="81" spans="1:8" x14ac:dyDescent="0.2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7</v>
      </c>
      <c r="E81" s="34">
        <v>6.25E-2</v>
      </c>
    </row>
    <row r="82" spans="1:8" x14ac:dyDescent="0.2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7</v>
      </c>
      <c r="E82" s="34">
        <v>2.0833333333333332E-2</v>
      </c>
    </row>
    <row r="83" spans="1:8" x14ac:dyDescent="0.2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6</v>
      </c>
      <c r="E83" s="34">
        <v>3.125E-2</v>
      </c>
    </row>
    <row r="84" spans="1:8" x14ac:dyDescent="0.2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4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4</v>
      </c>
      <c r="E85" s="34">
        <v>4.1666666666666664E-2</v>
      </c>
    </row>
    <row r="86" spans="1:8" x14ac:dyDescent="0.2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3</v>
      </c>
      <c r="E86" s="34">
        <v>2.7777777777777776E-2</v>
      </c>
    </row>
    <row r="87" spans="1:8" x14ac:dyDescent="0.2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3</v>
      </c>
      <c r="E87" s="34">
        <v>4.1666666666666664E-2</v>
      </c>
    </row>
    <row r="88" spans="1:8" x14ac:dyDescent="0.2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2</v>
      </c>
      <c r="E88" s="34">
        <v>4.1666666666666664E-2</v>
      </c>
    </row>
    <row r="89" spans="1:8" x14ac:dyDescent="0.2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2</v>
      </c>
      <c r="E89" s="34">
        <v>4.1666666666666664E-2</v>
      </c>
    </row>
    <row r="90" spans="1:8" x14ac:dyDescent="0.2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2</v>
      </c>
      <c r="E90" s="34">
        <v>2.0833333333333332E-2</v>
      </c>
    </row>
    <row r="91" spans="1:8" x14ac:dyDescent="0.2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2</v>
      </c>
      <c r="E91" s="34">
        <v>8.3333333333333329E-2</v>
      </c>
      <c r="F91" s="42" t="s">
        <v>165</v>
      </c>
    </row>
    <row r="92" spans="1:8" x14ac:dyDescent="0.2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1</v>
      </c>
      <c r="E92" s="34">
        <v>4.1666666666666664E-2</v>
      </c>
    </row>
    <row r="93" spans="1:8" x14ac:dyDescent="0.2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1</v>
      </c>
      <c r="E93" s="34">
        <v>2.4305555555555556E-2</v>
      </c>
    </row>
    <row r="94" spans="1:8" x14ac:dyDescent="0.2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ca="1">TODAY()-A94</f>
        <v>1</v>
      </c>
      <c r="E94" s="34">
        <v>4.1666666666666664E-2</v>
      </c>
    </row>
    <row r="95" spans="1:8" x14ac:dyDescent="0.2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ca="1">TODAY()-A95</f>
        <v>1</v>
      </c>
      <c r="E95" s="34">
        <v>6.25E-2</v>
      </c>
    </row>
    <row r="96" spans="1:8" x14ac:dyDescent="0.2">
      <c r="A96" s="55">
        <v>42341</v>
      </c>
      <c r="B96" s="38" t="str">
        <f>INDEX(学习总体!A:A,MATCH(表2[[#This Row],[科目]],学习总体!C:C,0))</f>
        <v>English</v>
      </c>
      <c r="C96" t="s">
        <v>117</v>
      </c>
      <c r="D96" s="57">
        <f ca="1">TODAY()-A96</f>
        <v>0</v>
      </c>
      <c r="E96" s="34">
        <v>2.7777777777777776E-2</v>
      </c>
    </row>
    <row r="97" spans="1:10" x14ac:dyDescent="0.2">
      <c r="A97" s="55">
        <v>42341</v>
      </c>
      <c r="B97" s="38" t="str">
        <f>INDEX(学习总体!A:A,MATCH(表2[[#This Row],[科目]],学习总体!C:C,0))</f>
        <v>字帖-英语</v>
      </c>
      <c r="C97" t="s">
        <v>86</v>
      </c>
      <c r="D97" s="57">
        <f ca="1">TODAY()-A97</f>
        <v>0</v>
      </c>
      <c r="E97" s="34">
        <v>3.125E-2</v>
      </c>
    </row>
    <row r="98" spans="1:10" x14ac:dyDescent="0.2">
      <c r="A98" s="55">
        <v>42341</v>
      </c>
      <c r="B98" s="38" t="str">
        <f>INDEX(学习总体!A:A,MATCH(表2[[#This Row],[科目]],学习总体!C:C,0))</f>
        <v>Excel</v>
      </c>
      <c r="C98" t="s">
        <v>130</v>
      </c>
      <c r="D98" s="57">
        <f ca="1">TODAY()-A98</f>
        <v>0</v>
      </c>
      <c r="E98" s="34">
        <v>2.0833333333333332E-2</v>
      </c>
    </row>
    <row r="99" spans="1:10" x14ac:dyDescent="0.2">
      <c r="D99" s="57"/>
    </row>
    <row r="100" spans="1:10" x14ac:dyDescent="0.2">
      <c r="D100" s="57"/>
    </row>
    <row r="101" spans="1:10" x14ac:dyDescent="0.2">
      <c r="D101" s="57"/>
    </row>
    <row r="102" spans="1:10" x14ac:dyDescent="0.2">
      <c r="D102" s="57"/>
    </row>
    <row r="103" spans="1:10" x14ac:dyDescent="0.2">
      <c r="D103" s="57"/>
    </row>
    <row r="104" spans="1:10" x14ac:dyDescent="0.2">
      <c r="D104" s="57"/>
    </row>
    <row r="105" spans="1:10" x14ac:dyDescent="0.2">
      <c r="D105" s="57"/>
    </row>
    <row r="106" spans="1:10" x14ac:dyDescent="0.2">
      <c r="D106" s="57"/>
    </row>
    <row r="107" spans="1:10" x14ac:dyDescent="0.2">
      <c r="D107" s="57"/>
    </row>
    <row r="108" spans="1:10" x14ac:dyDescent="0.2">
      <c r="D108" s="57"/>
    </row>
    <row r="109" spans="1:10" x14ac:dyDescent="0.2">
      <c r="D109" s="57"/>
    </row>
    <row r="111" spans="1:10" x14ac:dyDescent="0.2">
      <c r="H111" s="53" t="s">
        <v>119</v>
      </c>
      <c r="I111" s="35" t="s">
        <v>120</v>
      </c>
      <c r="J111" s="35"/>
    </row>
    <row r="112" spans="1:10" x14ac:dyDescent="0.2">
      <c r="H112" s="34">
        <f ca="1">SUMIF(D:D,0,E:E)</f>
        <v>7.9861111111111105E-2</v>
      </c>
      <c r="I112" s="38" t="str">
        <f ca="1">INDEX(学习总体!C:C,RANDBETWEEN(2,COUNTIF(学习总体!D:D,学习总体!D5)+1))</f>
        <v>Python 3.0教程-廖雪峰</v>
      </c>
      <c r="J112" s="35"/>
    </row>
    <row r="114" spans="1:30" s="50" customFormat="1" x14ac:dyDescent="0.2">
      <c r="A114" s="54"/>
      <c r="B114" s="48" t="s">
        <v>155</v>
      </c>
      <c r="C114" s="56"/>
      <c r="D114" s="60" t="s">
        <v>31</v>
      </c>
      <c r="E114" s="56"/>
      <c r="F114" s="56"/>
      <c r="G114" s="56"/>
      <c r="H114" s="56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51" customFormat="1" x14ac:dyDescent="0.2">
      <c r="A115" s="55"/>
      <c r="B115" s="48" t="s">
        <v>166</v>
      </c>
      <c r="C115" s="52" t="s">
        <v>32</v>
      </c>
      <c r="D115" s="55">
        <v>42341</v>
      </c>
      <c r="E115" s="55">
        <v>42340</v>
      </c>
      <c r="F115" s="55">
        <v>42339</v>
      </c>
      <c r="G115" s="55">
        <v>42338</v>
      </c>
      <c r="H115" s="55">
        <v>42337</v>
      </c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">
      <c r="B116" s="49" t="s">
        <v>168</v>
      </c>
      <c r="C116" s="59" t="s">
        <v>117</v>
      </c>
      <c r="D116" s="34">
        <v>2.7777777777777776E-2</v>
      </c>
      <c r="E116" s="34">
        <v>4.1666666666666664E-2</v>
      </c>
      <c r="F116" s="34">
        <v>4.1666666666666664E-2</v>
      </c>
      <c r="G116" s="34">
        <v>4.1666666666666664E-2</v>
      </c>
      <c r="H116" s="34"/>
      <c r="I116"/>
      <c r="J116"/>
      <c r="K116"/>
    </row>
    <row r="117" spans="1:30" x14ac:dyDescent="0.2">
      <c r="B117" s="49" t="s">
        <v>7</v>
      </c>
      <c r="C117" s="59" t="s">
        <v>130</v>
      </c>
      <c r="D117" s="34">
        <v>2.0833333333333332E-2</v>
      </c>
      <c r="E117" s="34">
        <v>4.1666666666666664E-2</v>
      </c>
      <c r="F117" s="34"/>
      <c r="G117" s="34"/>
      <c r="H117" s="34"/>
      <c r="I117"/>
      <c r="J117"/>
      <c r="K117"/>
    </row>
    <row r="118" spans="1:30" x14ac:dyDescent="0.2">
      <c r="B118" s="49" t="s">
        <v>169</v>
      </c>
      <c r="C118" s="49" t="s">
        <v>104</v>
      </c>
      <c r="D118" s="34"/>
      <c r="F118" s="34"/>
      <c r="G118" s="34"/>
      <c r="H118" s="34">
        <v>8.8888888888888878E-2</v>
      </c>
      <c r="I118"/>
      <c r="J118"/>
      <c r="K118"/>
    </row>
    <row r="119" spans="1:30" x14ac:dyDescent="0.2">
      <c r="B119" s="49" t="s">
        <v>9</v>
      </c>
      <c r="C119" s="59" t="s">
        <v>152</v>
      </c>
      <c r="D119" s="34"/>
      <c r="E119" s="34">
        <v>6.25E-2</v>
      </c>
      <c r="F119" s="34">
        <v>8.3333333333333329E-2</v>
      </c>
      <c r="G119" s="34"/>
      <c r="H119" s="34"/>
      <c r="I119"/>
      <c r="J119"/>
      <c r="K119"/>
    </row>
    <row r="120" spans="1:30" x14ac:dyDescent="0.2">
      <c r="B120" s="49"/>
      <c r="C120" s="49" t="s">
        <v>23</v>
      </c>
      <c r="D120" s="34"/>
      <c r="F120" s="34">
        <v>4.1666666666666664E-2</v>
      </c>
      <c r="G120" s="34"/>
      <c r="H120" s="34"/>
      <c r="I120"/>
      <c r="J120"/>
      <c r="K120"/>
    </row>
    <row r="121" spans="1:30" x14ac:dyDescent="0.2">
      <c r="B121" s="49" t="s">
        <v>170</v>
      </c>
      <c r="C121" s="59" t="s">
        <v>86</v>
      </c>
      <c r="D121" s="34">
        <v>3.125E-2</v>
      </c>
      <c r="E121" s="34">
        <v>2.4305555555555556E-2</v>
      </c>
      <c r="F121" s="34">
        <v>2.0833333333333332E-2</v>
      </c>
      <c r="G121" s="34">
        <v>2.7777777777777776E-2</v>
      </c>
      <c r="H121" s="34"/>
      <c r="I121"/>
      <c r="J121"/>
      <c r="K121"/>
    </row>
    <row r="122" spans="1:30" x14ac:dyDescent="0.2">
      <c r="B122" s="49" t="s">
        <v>146</v>
      </c>
      <c r="C122" s="49"/>
      <c r="D122" s="34">
        <v>7.9861111111111105E-2</v>
      </c>
      <c r="E122" s="34">
        <v>0.17013888888888887</v>
      </c>
      <c r="F122" s="34">
        <v>0.1875</v>
      </c>
      <c r="G122" s="34">
        <v>6.9444444444444448E-2</v>
      </c>
      <c r="H122" s="34">
        <v>8.8888888888888878E-2</v>
      </c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D128" s="42"/>
      <c r="E128"/>
      <c r="F128"/>
      <c r="G128"/>
      <c r="H128"/>
      <c r="I128"/>
      <c r="J128"/>
      <c r="K128"/>
    </row>
    <row r="129" spans="4:11" x14ac:dyDescent="0.2">
      <c r="D129" s="42"/>
      <c r="E129"/>
      <c r="F129"/>
      <c r="G129"/>
      <c r="H129"/>
      <c r="I129"/>
      <c r="J129"/>
      <c r="K129"/>
    </row>
    <row r="130" spans="4:11" x14ac:dyDescent="0.2">
      <c r="D130" s="42"/>
      <c r="E130"/>
      <c r="F130"/>
      <c r="G130"/>
      <c r="H130"/>
      <c r="I130"/>
      <c r="J130"/>
      <c r="K130"/>
    </row>
    <row r="131" spans="4:11" x14ac:dyDescent="0.2">
      <c r="D131" s="42"/>
      <c r="E131"/>
      <c r="F131"/>
      <c r="G131"/>
      <c r="H131"/>
      <c r="I131"/>
      <c r="J131"/>
      <c r="K131"/>
    </row>
    <row r="132" spans="4:11" x14ac:dyDescent="0.2">
      <c r="D132" s="42"/>
      <c r="J132"/>
      <c r="K132"/>
    </row>
    <row r="133" spans="4:11" x14ac:dyDescent="0.2">
      <c r="D133" s="42"/>
      <c r="J133"/>
      <c r="K133"/>
    </row>
    <row r="134" spans="4:11" x14ac:dyDescent="0.2">
      <c r="D134" s="42"/>
      <c r="J134"/>
      <c r="K134"/>
    </row>
    <row r="135" spans="4:11" x14ac:dyDescent="0.2">
      <c r="D135" s="42"/>
      <c r="J135"/>
      <c r="K135"/>
    </row>
    <row r="136" spans="4:11" x14ac:dyDescent="0.2">
      <c r="D136" s="42"/>
      <c r="J136"/>
      <c r="K136"/>
    </row>
    <row r="137" spans="4:11" x14ac:dyDescent="0.2">
      <c r="D137" s="42"/>
      <c r="J137"/>
      <c r="K137"/>
    </row>
    <row r="138" spans="4:11" x14ac:dyDescent="0.2">
      <c r="D138" s="42"/>
      <c r="J138"/>
      <c r="K138"/>
    </row>
    <row r="139" spans="4:11" x14ac:dyDescent="0.2">
      <c r="D139" s="42"/>
      <c r="J139"/>
      <c r="K139"/>
    </row>
    <row r="140" spans="4:11" x14ac:dyDescent="0.2">
      <c r="D140" s="42"/>
    </row>
    <row r="141" spans="4:11" x14ac:dyDescent="0.2">
      <c r="D141" s="42"/>
    </row>
    <row r="142" spans="4:11" x14ac:dyDescent="0.2">
      <c r="D142" s="42"/>
    </row>
    <row r="143" spans="4:11" x14ac:dyDescent="0.2">
      <c r="D143" s="42"/>
    </row>
    <row r="144" spans="4:11" x14ac:dyDescent="0.2">
      <c r="D144" s="42"/>
    </row>
    <row r="145" spans="4:4" x14ac:dyDescent="0.2">
      <c r="D145" s="42"/>
    </row>
    <row r="146" spans="4:4" x14ac:dyDescent="0.2">
      <c r="D146" s="42"/>
    </row>
    <row r="147" spans="4:4" x14ac:dyDescent="0.2">
      <c r="D147" s="42"/>
    </row>
    <row r="148" spans="4:4" x14ac:dyDescent="0.2">
      <c r="D148" s="42"/>
    </row>
    <row r="149" spans="4:4" x14ac:dyDescent="0.2">
      <c r="D149" s="42"/>
    </row>
    <row r="150" spans="4:4" x14ac:dyDescent="0.2">
      <c r="D150" s="42"/>
    </row>
    <row r="151" spans="4:4" x14ac:dyDescent="0.2">
      <c r="D151" s="42"/>
    </row>
    <row r="152" spans="4:4" x14ac:dyDescent="0.2">
      <c r="D152" s="42"/>
    </row>
    <row r="153" spans="4:4" x14ac:dyDescent="0.2">
      <c r="D153" s="42"/>
    </row>
    <row r="154" spans="4:4" x14ac:dyDescent="0.2">
      <c r="D154" s="42"/>
    </row>
    <row r="155" spans="4:4" x14ac:dyDescent="0.2">
      <c r="D155" s="42"/>
    </row>
    <row r="156" spans="4:4" x14ac:dyDescent="0.2">
      <c r="D156" s="42"/>
    </row>
    <row r="157" spans="4:4" x14ac:dyDescent="0.2">
      <c r="D157" s="42"/>
    </row>
    <row r="158" spans="4:4" x14ac:dyDescent="0.2">
      <c r="D158" s="42"/>
    </row>
    <row r="159" spans="4:4" x14ac:dyDescent="0.2">
      <c r="D159" s="42"/>
    </row>
    <row r="160" spans="4:4" x14ac:dyDescent="0.2">
      <c r="D160" s="42"/>
    </row>
    <row r="161" spans="4:4" x14ac:dyDescent="0.2">
      <c r="D161" s="42"/>
    </row>
    <row r="162" spans="4:4" x14ac:dyDescent="0.2">
      <c r="D162" s="42"/>
    </row>
    <row r="163" spans="4:4" x14ac:dyDescent="0.2">
      <c r="D163" s="42"/>
    </row>
    <row r="164" spans="4:4" x14ac:dyDescent="0.2">
      <c r="D164" s="42"/>
    </row>
    <row r="165" spans="4:4" x14ac:dyDescent="0.2">
      <c r="D165" s="42"/>
    </row>
    <row r="166" spans="4:4" x14ac:dyDescent="0.2">
      <c r="D166" s="42"/>
    </row>
    <row r="167" spans="4:4" x14ac:dyDescent="0.2">
      <c r="D167" s="42"/>
    </row>
    <row r="168" spans="4:4" x14ac:dyDescent="0.2">
      <c r="D168" s="42"/>
    </row>
    <row r="169" spans="4:4" x14ac:dyDescent="0.2">
      <c r="D169" s="42"/>
    </row>
    <row r="170" spans="4:4" x14ac:dyDescent="0.2">
      <c r="D170" s="42"/>
    </row>
    <row r="171" spans="4:4" x14ac:dyDescent="0.2">
      <c r="D171" s="42"/>
    </row>
    <row r="172" spans="4:4" x14ac:dyDescent="0.2">
      <c r="D172" s="42"/>
    </row>
    <row r="173" spans="4:4" x14ac:dyDescent="0.2">
      <c r="D173" s="42"/>
    </row>
    <row r="174" spans="4:4" x14ac:dyDescent="0.2">
      <c r="D174" s="42"/>
    </row>
    <row r="175" spans="4:4" x14ac:dyDescent="0.2">
      <c r="D175" s="42"/>
    </row>
    <row r="176" spans="4:4" x14ac:dyDescent="0.2">
      <c r="D176" s="42"/>
    </row>
    <row r="177" spans="4:4" x14ac:dyDescent="0.2">
      <c r="D177" s="42"/>
    </row>
    <row r="178" spans="4:4" x14ac:dyDescent="0.2">
      <c r="D178" s="42"/>
    </row>
    <row r="179" spans="4:4" x14ac:dyDescent="0.2">
      <c r="D179" s="42"/>
    </row>
    <row r="180" spans="4:4" x14ac:dyDescent="0.2">
      <c r="D180" s="42"/>
    </row>
    <row r="181" spans="4:4" x14ac:dyDescent="0.2">
      <c r="D181" s="42"/>
    </row>
    <row r="182" spans="4:4" x14ac:dyDescent="0.2">
      <c r="D182" s="42"/>
    </row>
    <row r="183" spans="4:4" x14ac:dyDescent="0.2">
      <c r="D183" s="42"/>
    </row>
    <row r="184" spans="4:4" x14ac:dyDescent="0.2">
      <c r="D184" s="42"/>
    </row>
    <row r="185" spans="4:4" x14ac:dyDescent="0.2">
      <c r="D185" s="42"/>
    </row>
    <row r="186" spans="4:4" x14ac:dyDescent="0.2">
      <c r="D186" s="42"/>
    </row>
    <row r="187" spans="4:4" x14ac:dyDescent="0.2">
      <c r="D187" s="42"/>
    </row>
    <row r="188" spans="4:4" x14ac:dyDescent="0.2">
      <c r="D188" s="42"/>
    </row>
    <row r="189" spans="4:4" x14ac:dyDescent="0.2">
      <c r="D189" s="42"/>
    </row>
    <row r="190" spans="4:4" x14ac:dyDescent="0.2">
      <c r="D190" s="42"/>
    </row>
    <row r="191" spans="4:4" x14ac:dyDescent="0.2">
      <c r="D191" s="42"/>
    </row>
    <row r="192" spans="4:4" x14ac:dyDescent="0.2">
      <c r="D192" s="42"/>
    </row>
    <row r="193" spans="4:4" x14ac:dyDescent="0.2">
      <c r="D193" s="42"/>
    </row>
  </sheetData>
  <phoneticPr fontId="4" type="noConversion"/>
  <conditionalFormatting sqref="H114:H115 A113:H113 A128:C193 E132:H193 A111:G112 A114:A127 B121:B127 A1:H110 A194:H1048576">
    <cfRule type="expression" dxfId="69" priority="7">
      <formula>$A1=TODAY()-1</formula>
    </cfRule>
    <cfRule type="expression" dxfId="68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C194:C1048576 C1:C113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18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18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18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18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18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18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18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18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16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16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16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16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16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16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15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14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14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13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13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13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11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11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11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11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11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10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10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10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9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9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t="shared" ref="C32:C40" ca="1" si="1">TODAY()-ROUNDDOWN(A32,0)</f>
        <v>9</v>
      </c>
      <c r="D32" s="42">
        <v>18</v>
      </c>
    </row>
    <row r="33" spans="1:8" x14ac:dyDescent="0.2">
      <c r="A33" s="41">
        <v>42333.652083333334</v>
      </c>
      <c r="B33" t="s">
        <v>139</v>
      </c>
      <c r="C33" s="45">
        <f t="shared" ca="1" si="1"/>
        <v>8</v>
      </c>
      <c r="D33" s="42">
        <v>15</v>
      </c>
    </row>
    <row r="34" spans="1:8" x14ac:dyDescent="0.2">
      <c r="A34" s="41">
        <v>42335.855555555558</v>
      </c>
      <c r="B34" t="s">
        <v>141</v>
      </c>
      <c r="C34" s="45">
        <f t="shared" ca="1" si="1"/>
        <v>6</v>
      </c>
      <c r="D34" s="42">
        <v>30</v>
      </c>
    </row>
    <row r="35" spans="1:8" x14ac:dyDescent="0.2">
      <c r="A35" s="41">
        <v>42335.857638888891</v>
      </c>
      <c r="B35" t="s">
        <v>140</v>
      </c>
      <c r="C35" s="45">
        <f t="shared" ca="1" si="1"/>
        <v>6</v>
      </c>
      <c r="D35" s="42">
        <v>40</v>
      </c>
      <c r="G35"/>
    </row>
    <row r="36" spans="1:8" x14ac:dyDescent="0.2">
      <c r="A36" s="41">
        <v>42335.86041666667</v>
      </c>
      <c r="B36" t="s">
        <v>163</v>
      </c>
      <c r="C36" s="45">
        <f t="shared" ca="1" si="1"/>
        <v>6</v>
      </c>
      <c r="D36" s="42">
        <v>60</v>
      </c>
    </row>
    <row r="37" spans="1:8" x14ac:dyDescent="0.2">
      <c r="A37" s="41">
        <v>42335.867361111108</v>
      </c>
      <c r="B37" t="s">
        <v>139</v>
      </c>
      <c r="C37" s="45">
        <f t="shared" ca="1" si="1"/>
        <v>6</v>
      </c>
      <c r="D37" s="42">
        <v>15</v>
      </c>
    </row>
    <row r="38" spans="1:8" x14ac:dyDescent="0.2">
      <c r="A38" s="41">
        <v>42335.87222222222</v>
      </c>
      <c r="B38" t="s">
        <v>141</v>
      </c>
      <c r="C38" s="45">
        <f t="shared" ca="1" si="1"/>
        <v>6</v>
      </c>
      <c r="D38" s="42">
        <v>40</v>
      </c>
    </row>
    <row r="39" spans="1:8" x14ac:dyDescent="0.2">
      <c r="A39" s="41">
        <v>42335.87222222222</v>
      </c>
      <c r="B39" t="s">
        <v>140</v>
      </c>
      <c r="C39" s="45">
        <f t="shared" ca="1" si="1"/>
        <v>6</v>
      </c>
      <c r="D39" s="42">
        <v>40</v>
      </c>
    </row>
    <row r="40" spans="1:8" x14ac:dyDescent="0.2">
      <c r="A40" s="41">
        <v>42336.954861111109</v>
      </c>
      <c r="B40" t="s">
        <v>140</v>
      </c>
      <c r="C40" s="45">
        <f t="shared" ca="1" si="1"/>
        <v>5</v>
      </c>
      <c r="D40" s="42">
        <v>30</v>
      </c>
    </row>
    <row r="41" spans="1:8" x14ac:dyDescent="0.2">
      <c r="A41" s="41">
        <v>42336.954861111109</v>
      </c>
      <c r="B41" t="s">
        <v>141</v>
      </c>
      <c r="C41" s="45">
        <f ca="1">TODAY()-ROUNDDOWN(A41,0)</f>
        <v>5</v>
      </c>
      <c r="D41" s="42">
        <v>35</v>
      </c>
    </row>
    <row r="42" spans="1:8" x14ac:dyDescent="0.2">
      <c r="A42" s="41">
        <v>42338.556250000001</v>
      </c>
      <c r="B42" t="s">
        <v>139</v>
      </c>
      <c r="C42" s="45">
        <f t="shared" ref="C42:C43" ca="1" si="2">TODAY()-ROUNDDOWN(A42,0)</f>
        <v>3</v>
      </c>
      <c r="D42" s="42">
        <v>15</v>
      </c>
    </row>
    <row r="43" spans="1:8" x14ac:dyDescent="0.2">
      <c r="A43" s="41">
        <v>42338.620138888888</v>
      </c>
      <c r="B43" t="s">
        <v>139</v>
      </c>
      <c r="C43" s="45">
        <f t="shared" ca="1" si="2"/>
        <v>3</v>
      </c>
      <c r="D43" s="42">
        <v>20</v>
      </c>
    </row>
    <row r="45" spans="1:8" x14ac:dyDescent="0.2">
      <c r="F45" s="44" t="s">
        <v>148</v>
      </c>
      <c r="G45" s="44" t="s">
        <v>147</v>
      </c>
      <c r="H45" s="42"/>
    </row>
    <row r="46" spans="1:8" x14ac:dyDescent="0.2">
      <c r="F46" s="44" t="s">
        <v>145</v>
      </c>
      <c r="G46" s="42" t="s">
        <v>164</v>
      </c>
      <c r="H46" s="42" t="s">
        <v>146</v>
      </c>
    </row>
    <row r="47" spans="1:8" x14ac:dyDescent="0.2">
      <c r="F47" s="38" t="s">
        <v>139</v>
      </c>
      <c r="G47" s="42">
        <v>35</v>
      </c>
      <c r="H47" s="42">
        <v>35</v>
      </c>
    </row>
    <row r="48" spans="1:8" x14ac:dyDescent="0.2">
      <c r="F48" s="38" t="s">
        <v>146</v>
      </c>
      <c r="G48" s="42">
        <v>35</v>
      </c>
      <c r="H48" s="42">
        <v>35</v>
      </c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2015-12-03T12:18:03Z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