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F:\github\Python-note\"/>
    </mc:Choice>
  </mc:AlternateContent>
  <bookViews>
    <workbookView xWindow="0" yWindow="0" windowWidth="20910" windowHeight="9930" activeTab="3"/>
  </bookViews>
  <sheets>
    <sheet name="项目" sheetId="1" r:id="rId1"/>
    <sheet name="运动" sheetId="4" r:id="rId2"/>
    <sheet name="学习总体" sheetId="2" r:id="rId3"/>
    <sheet name="学习记录" sheetId="3" r:id="rId4"/>
    <sheet name="运动记录" sheetId="5" r:id="rId5"/>
  </sheets>
  <definedNames>
    <definedName name="_xlnm._FilterDatabase" localSheetId="2" hidden="1">学习总体!$A$1:$E$33</definedName>
    <definedName name="data">OFFSET(学习记录!$A$1,0,0,COUNTA(学习记录!$A:$A),COUNTA(学习记录!$1:$1))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运动">OFFSET(运动记录!$A$1,0,0,COUNTA(运动记录!$A:$A),COUNTA(运动记录!$1:$1))</definedName>
  </definedNames>
  <calcPr calcId="152511"/>
  <pivotCaches>
    <pivotCache cacheId="5" r:id="rId6"/>
    <pivotCache cacheId="9" r:id="rId7"/>
  </pivotCaches>
</workbook>
</file>

<file path=xl/calcChain.xml><?xml version="1.0" encoding="utf-8"?>
<calcChain xmlns="http://schemas.openxmlformats.org/spreadsheetml/2006/main">
  <c r="C77" i="3" l="1"/>
  <c r="C76" i="3" l="1"/>
  <c r="C32" i="5" l="1"/>
  <c r="C2" i="5" l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75" i="3" l="1"/>
  <c r="C2" i="3" l="1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E11" i="2" l="1"/>
  <c r="H87" i="3" l="1"/>
  <c r="E4" i="2" l="1"/>
  <c r="E15" i="2" l="1"/>
  <c r="E7" i="2" l="1"/>
  <c r="G7" i="2" l="1"/>
  <c r="E3" i="2" l="1"/>
  <c r="E9" i="2" l="1"/>
  <c r="E16" i="2"/>
  <c r="E17" i="2" l="1"/>
  <c r="D22" i="3"/>
  <c r="E18" i="2" l="1"/>
  <c r="E2" i="2"/>
  <c r="D14" i="3" l="1"/>
  <c r="J3" i="1" l="1"/>
  <c r="K3" i="1"/>
  <c r="I3" i="1"/>
  <c r="G3" i="1"/>
  <c r="H3" i="1"/>
  <c r="E13" i="2" l="1"/>
  <c r="D5" i="3" l="1"/>
  <c r="E32" i="2" s="1"/>
  <c r="D4" i="3"/>
  <c r="E12" i="2" s="1"/>
  <c r="E31" i="2"/>
  <c r="E30" i="2"/>
  <c r="E25" i="2"/>
  <c r="E24" i="2"/>
  <c r="E8" i="2"/>
  <c r="G8" i="2" s="1"/>
  <c r="E22" i="2"/>
  <c r="E29" i="2"/>
  <c r="E14" i="2"/>
  <c r="E21" i="2"/>
  <c r="E28" i="2"/>
  <c r="E27" i="2"/>
  <c r="E26" i="2"/>
  <c r="E23" i="2"/>
  <c r="E20" i="2"/>
  <c r="E5" i="2"/>
  <c r="E19" i="2"/>
  <c r="E6" i="2"/>
  <c r="G6" i="2" s="1"/>
  <c r="E10" i="2"/>
  <c r="E33" i="2"/>
  <c r="G33" i="2" s="1"/>
  <c r="G87" i="3" l="1"/>
</calcChain>
</file>

<file path=xl/comments1.xml><?xml version="1.0" encoding="utf-8"?>
<comments xmlns="http://schemas.openxmlformats.org/spreadsheetml/2006/main">
  <authors>
    <author>ZYF</author>
  </authors>
  <commentList>
    <comment ref="C32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<sst xmlns="http://schemas.openxmlformats.org/spreadsheetml/2006/main" count="303" uniqueCount="166">
  <si>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</si>
  <si>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</si>
  <si>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</si>
  <si>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</si>
  <si>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</si>
  <si>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</si>
  <si>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</si>
  <si>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</si>
  <si>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</si>
  <si>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</si>
  <si>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</si>
  <si>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</si>
  <si>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</si>
  <si>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</si>
  <si>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</si>
  <si>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</si>
  <si>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</si>
  <si>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</si>
  <si>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</si>
  <si>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</si>
  <si>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</si>
  <si>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</si>
  <si>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</si>
  <si>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</si>
  <si>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</si>
  <si>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</si>
  <si>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</si>
  <si>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</si>
  <si>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</si>
  <si>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</si>
  <si>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</si>
  <si>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</si>
  <si>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</si>
  <si>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</si>
  <si>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</si>
  <si>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</si>
  <si>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</si>
  <si>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</si>
  <si>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</si>
  <si>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</si>
  <si>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</si>
  <si>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</si>
  <si>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</si>
  <si>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</si>
  <si>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</si>
  <si>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</si>
  <si>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</si>
  <si>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</si>
  <si>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</si>
  <si>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</si>
  <si>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</si>
  <si>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</si>
  <si>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</si>
  <si>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</si>
  <si>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</si>
  <si>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</si>
  <si>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</si>
  <si>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</si>
  <si>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</si>
  <si>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</si>
  <si>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</si>
  <si>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</si>
  <si>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</si>
  <si>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</si>
  <si>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</si>
  <si>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</si>
  <si>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</si>
  <si>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</si>
  <si>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</si>
  <si>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</si>
  <si>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</si>
  <si>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</si>
  <si>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</si>
  <si>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</si>
  <si>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</si>
  <si>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</si>
  <si>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</si>
  <si>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</si>
  <si>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</si>
  <si>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</si>
  <si>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</si>
  <si>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</si>
  <si>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</si>
  <si>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</si>
  <si>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</si>
  <si>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</si>
  <si>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</si>
  <si>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</si>
  <si>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</si>
  <si>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</si>
  <si>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</si>
  <si>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</si>
  <si>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</si>
  <si>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</si>
  <si>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</si>
  <si>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</si>
  <si>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</si>
  <si>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</si>
  <si>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</si>
  <si>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</si>
  <si>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</si>
  <si>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</si>
  <si>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</si>
  <si>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</si>
  <si>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</si>
  <si>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</si>
  <si>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</si>
  <si>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</si>
  <si>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</si>
  <si>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</si>
  <si>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</si>
  <si>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</si>
  <si>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</si>
  <si>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</si>
  <si>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</si>
  <si>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</si>
  <si>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</si>
  <si>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</si>
  <si>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</si>
  <si>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</si>
  <si>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</si>
  <si>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</si>
  <si>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</si>
  <si>
    <t>编程</t>
    <phoneticPr fontId="4" type="noConversion"/>
  </si>
  <si>
    <t>数学</t>
    <phoneticPr fontId="4" type="noConversion"/>
  </si>
  <si>
    <t>英语</t>
    <phoneticPr fontId="4" type="noConversion"/>
  </si>
  <si>
    <t xml:space="preserve">python </t>
    <phoneticPr fontId="4" type="noConversion"/>
  </si>
  <si>
    <t>C</t>
    <phoneticPr fontId="4" type="noConversion"/>
  </si>
  <si>
    <t>economic</t>
    <phoneticPr fontId="4" type="noConversion"/>
  </si>
  <si>
    <r>
      <t>E</t>
    </r>
    <r>
      <rPr>
        <sz val="11"/>
        <color indexed="8"/>
        <rFont val="微软雅黑"/>
        <family val="2"/>
        <charset val="134"/>
      </rPr>
      <t>xcel</t>
    </r>
    <phoneticPr fontId="4" type="noConversion"/>
  </si>
  <si>
    <t>[王佩丰]Excel2010数据透视表视频教程</t>
  </si>
  <si>
    <t>[王佩丰]Excel2010数据透视表视频教程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</si>
  <si>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</si>
  <si>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</si>
  <si>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分类</t>
    <phoneticPr fontId="10" type="noConversion"/>
  </si>
  <si>
    <t>项目</t>
    <phoneticPr fontId="10" type="noConversion"/>
  </si>
  <si>
    <t>时间</t>
    <phoneticPr fontId="10" type="noConversion"/>
  </si>
  <si>
    <t>次数/时长</t>
    <phoneticPr fontId="10" type="noConversion"/>
  </si>
  <si>
    <t>仰卧起坐</t>
  </si>
  <si>
    <t>俯卧撑</t>
  </si>
  <si>
    <t>下蹲</t>
  </si>
  <si>
    <t>小腿上提</t>
  </si>
  <si>
    <t>平板支撑</t>
    <phoneticPr fontId="10" type="noConversion"/>
  </si>
  <si>
    <t>程序设计入门——C语言</t>
  </si>
  <si>
    <t>C</t>
    <phoneticPr fontId="4" type="noConversion"/>
  </si>
  <si>
    <t>行标签</t>
  </si>
  <si>
    <t>总计</t>
  </si>
  <si>
    <t>列标签</t>
  </si>
  <si>
    <t>求和项:次数/时长</t>
  </si>
  <si>
    <t>眼保健操</t>
    <phoneticPr fontId="10" type="noConversion"/>
  </si>
  <si>
    <t>级别</t>
    <phoneticPr fontId="10" type="noConversion"/>
  </si>
  <si>
    <t>距离今天</t>
    <phoneticPr fontId="10" type="noConversion"/>
  </si>
  <si>
    <t>Python语言程序设计--中国大学MOOC</t>
  </si>
  <si>
    <t>Python语言程序设计--中国大学MOOC</t>
    <phoneticPr fontId="4" type="noConversion"/>
  </si>
  <si>
    <t>备注</t>
    <phoneticPr fontId="4" type="noConversion"/>
  </si>
  <si>
    <t>求和项:时长</t>
  </si>
  <si>
    <t>Python</t>
    <phoneticPr fontId="4" type="noConversion"/>
  </si>
  <si>
    <t>Flask官方教程</t>
  </si>
  <si>
    <t>Flask官方教程</t>
    <phoneticPr fontId="4" type="noConversion"/>
  </si>
  <si>
    <t>眼保健操</t>
  </si>
  <si>
    <t>学习起来比较困难，搁浅</t>
    <phoneticPr fontId="4" type="noConversion"/>
  </si>
  <si>
    <t>上提水桶</t>
  </si>
  <si>
    <t>上提水桶</t>
    <phoneticPr fontId="10" type="noConversion"/>
  </si>
  <si>
    <t>11月22日</t>
  </si>
  <si>
    <t>11月23日</t>
  </si>
  <si>
    <t>11月24日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</si>
</sst>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h:mm;@"/>
    <numFmt numFmtId="177" formatCode="[$-F400]h:mm:ss\ AM/PM"/>
    <numFmt numFmtId="178" formatCode="0\ &quot;天&quot;"/>
    <numFmt numFmtId="179" formatCode="[h]:mm"/>
    <numFmt numFmtId="180" formatCode="0_ "/>
    <numFmt numFmtId="181" formatCode="mm/dd"/>
  </numFmts>
  <fonts count="12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  <font>
      <sz val="9"/>
      <name val="等线"/>
      <family val="3"/>
      <charset val="134"/>
    </font>
    <font>
      <sz val="11"/>
      <color rgb="FFFF3300"/>
      <name val="等线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0">
    <xf numFmtId="177" fontId="0" fillId="0" borderId="0" xfId="0">
      <alignment vertical="center"/>
    </xf>
    <xf numFmtId="176" fontId="0" fillId="0" borderId="0" xfId="0" applyNumberForma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0" fontId="3" fillId="0" borderId="0" xfId="0" applyNumberFormat="1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left" vertical="center"/>
    </xf>
    <xf numFmtId="177" fontId="9" fillId="0" borderId="0" xfId="0" applyFont="1">
      <alignment vertical="center"/>
    </xf>
    <xf numFmtId="22" fontId="9" fillId="0" borderId="0" xfId="0" applyNumberFormat="1" applyFont="1">
      <alignment vertical="center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9" fillId="0" borderId="0" xfId="0" applyNumberFormat="1" applyFont="1">
      <alignment vertical="center"/>
    </xf>
    <xf numFmtId="0" fontId="0" fillId="0" borderId="0" xfId="0" pivotButton="1" applyNumberFormat="1">
      <alignment vertical="center"/>
    </xf>
    <xf numFmtId="180" fontId="0" fillId="0" borderId="0" xfId="0" applyNumberFormat="1">
      <alignment vertical="center"/>
    </xf>
    <xf numFmtId="0" fontId="0" fillId="0" borderId="0" xfId="0" applyNumberFormat="1" applyAlignment="1">
      <alignment vertical="top"/>
    </xf>
    <xf numFmtId="0" fontId="0" fillId="0" borderId="0" xfId="0" applyNumberFormat="1" applyFont="1">
      <alignment vertical="center"/>
    </xf>
    <xf numFmtId="177" fontId="0" fillId="0" borderId="0" xfId="0" pivotButton="1" applyAlignment="1">
      <alignment horizontal="center" vertical="center"/>
    </xf>
    <xf numFmtId="177" fontId="0" fillId="0" borderId="0" xfId="0" applyAlignment="1">
      <alignment horizontal="left" vertical="center"/>
    </xf>
    <xf numFmtId="177" fontId="0" fillId="0" borderId="0" xfId="0" applyFont="1" applyAlignment="1">
      <alignment horizontal="center" vertical="center"/>
    </xf>
    <xf numFmtId="58" fontId="0" fillId="0" borderId="0" xfId="0" applyNumberFormat="1">
      <alignment vertical="center"/>
    </xf>
    <xf numFmtId="58" fontId="0" fillId="0" borderId="0" xfId="0" pivotButton="1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81" fontId="0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77" fontId="0" fillId="0" borderId="0" xfId="0" applyAlignment="1">
      <alignment horizontal="center" vertical="center"/>
    </xf>
    <xf numFmtId="177" fontId="11" fillId="0" borderId="0" xfId="0" applyFont="1" applyAlignment="1">
      <alignment horizontal="left" vertical="center"/>
    </xf>
    <xf numFmtId="0" fontId="0" fillId="0" borderId="0" xfId="0" pivotButton="1" applyNumberFormat="1" applyFont="1" applyAlignment="1">
      <alignment horizontal="left" vertical="center"/>
    </xf>
    <xf numFmtId="37" fontId="0" fillId="0" borderId="0" xfId="0" applyNumberFormat="1" applyAlignment="1">
      <alignment horizontal="center" vertical="center"/>
    </xf>
  </cellXfs>
  <cellStyles count="3">
    <cellStyle name="百分比" xfId="2" builtinId="5"/>
    <cellStyle name="常规" xfId="0" builtinId="0"/>
    <cellStyle name="超链接" xfId="1" builtinId="8"/>
  </cellStyles>
  <dxfs count="86">
    <dxf>
      <numFmt numFmtId="0" formatCode="General"/>
    </dxf>
    <dxf>
      <numFmt numFmtId="176" formatCode="h:mm;@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left" readingOrder="0"/>
    </dxf>
    <dxf>
      <font>
        <color rgb="FFFF3300"/>
      </font>
    </dxf>
    <dxf>
      <numFmt numFmtId="45" formatCode="m&quot;月&quot;d&quot;日&quot;"/>
    </dxf>
    <dxf>
      <font>
        <color rgb="FFFF3300"/>
      </font>
      <alignment horizontal="left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77" formatCode="[$-F400]h:mm:ss\ AM/PM"/>
    </dxf>
    <dxf>
      <numFmt numFmtId="176" formatCode="h:mm;@"/>
    </dxf>
    <dxf>
      <numFmt numFmtId="181" formatCode="mm/dd"/>
    </dxf>
    <dxf>
      <numFmt numFmtId="0" formatCode="General"/>
    </dxf>
    <dxf>
      <numFmt numFmtId="180" formatCode="0_ "/>
    </dxf>
    <dxf>
      <numFmt numFmtId="27" formatCode="yyyy/m/d\ h:mm"/>
    </dxf>
    <dxf>
      <numFmt numFmtId="0" formatCode="General"/>
    </dxf>
    <dxf>
      <numFmt numFmtId="0" formatCode="General"/>
    </dxf>
    <dxf>
      <numFmt numFmtId="176" formatCode="h:mm;@"/>
    </dxf>
    <dxf>
      <numFmt numFmtId="0" formatCode="General"/>
    </dxf>
    <dxf>
      <numFmt numFmtId="176" formatCode="h:mm;@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176" formatCode="h:mm;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5" formatCode="#,##0;\-#,##0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181" formatCode="mm/dd"/>
      <alignment horizontal="center" vertical="center" textRotation="0" wrapText="0" indent="0" justifyLastLine="0" shrinkToFit="0" readingOrder="0"/>
    </dxf>
    <dxf>
      <numFmt numFmtId="181" formatCode="mm/dd"/>
    </dxf>
    <dxf>
      <numFmt numFmtId="176" formatCode="h:mm;@"/>
    </dxf>
    <dxf>
      <numFmt numFmtId="17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font>
        <color rgb="FFFF3300"/>
      </font>
      <alignment horizontal="left" readingOrder="0"/>
    </dxf>
    <dxf>
      <numFmt numFmtId="45" formatCode="m&quot;月&quot;d&quot;日&quot;"/>
    </dxf>
    <dxf>
      <font>
        <color rgb="FFFF3300"/>
      </font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font>
        <b val="0"/>
      </font>
    </dxf>
    <dxf>
      <font>
        <b val="0"/>
      </font>
    </dxf>
    <dxf>
      <font>
        <b val="0"/>
      </font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numFmt numFmtId="176" formatCode="h:mm;@"/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  <bottom style="thin">
          <color theme="4" tint="0.39997558519241921"/>
        </bottom>
      </border>
    </dxf>
    <dxf>
      <font>
        <b/>
        <color theme="1"/>
      </font>
      <border>
        <bottom style="thin">
          <color theme="4" tint="0.79998168889431442"/>
        </bottom>
      </border>
    </dxf>
    <dxf>
      <font>
        <color rgb="FFFF6600"/>
      </font>
    </dxf>
    <dxf>
      <border>
        <left style="thin">
          <color theme="4" tint="0.79998168889431442"/>
        </left>
        <right style="thin">
          <color theme="4" tint="0.79998168889431442"/>
        </right>
      </border>
    </dxf>
    <dxf>
      <fill>
        <patternFill patternType="solid">
          <fgColor theme="4" tint="0.39997558519241921"/>
          <bgColor theme="4" tint="0.39997558519241921"/>
        </patternFill>
      </fill>
    </dxf>
    <dxf>
      <font>
        <color rgb="FFFF3300"/>
      </font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</dxf>
    <dxf>
      <font>
        <b/>
        <i val="0"/>
        <color theme="0"/>
      </font>
      <fill>
        <patternFill patternType="solid">
          <fgColor theme="4" tint="-0.499984740745262"/>
          <bgColor theme="4" tint="-0.499984740745262"/>
        </patternFill>
      </fill>
      <border>
        <bottom style="thin">
          <color theme="4"/>
        </bottom>
        <horizontal style="thin">
          <color theme="4" tint="-0.499984740745262"/>
        </horizontal>
      </border>
    </dxf>
    <dxf>
      <font>
        <color theme="1"/>
      </font>
      <fill>
        <patternFill patternType="solid">
          <fgColor theme="4" tint="0.59999389629810485"/>
          <bgColor theme="4" tint="0.59999389629810485"/>
        </patternFill>
      </fill>
      <border>
        <horizontal style="thin">
          <color theme="4" tint="0.79998168889431442"/>
        </horizontal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MySqlDefault" pivot="0" table="0" count="2">
      <tableStyleElement type="wholeTable" dxfId="85"/>
      <tableStyleElement type="headerRow" dxfId="84"/>
    </tableStyle>
    <tableStyle name="学习" table="0" count="12">
      <tableStyleElement type="wholeTable" dxfId="83"/>
      <tableStyleElement type="headerRow" dxfId="82"/>
      <tableStyleElement type="totalRow" dxfId="81"/>
      <tableStyleElement type="firstColumn" dxfId="80"/>
      <tableStyleElement type="secondRowStripe" dxfId="79"/>
      <tableStyleElement type="secondColumnStripe" dxfId="78"/>
      <tableStyleElement type="firstSubtotalColumn" dxfId="77"/>
      <tableStyleElement type="firstSubtotalRow" dxfId="76"/>
      <tableStyleElement type="firstRowSubheading" dxfId="75"/>
      <tableStyleElement type="secondRowSubheading" dxfId="74"/>
      <tableStyleElement type="pageFieldLabels" dxfId="73"/>
      <tableStyleElement type="pageFieldValues" dxfId="72"/>
    </tableStyle>
  </tableStyles>
  <colors>
    <mruColors>
      <color rgb="FFFF3300"/>
      <color rgb="FFFF6600"/>
      <color rgb="FFFF0000"/>
      <color rgb="FF66FF66"/>
      <color rgb="FFFF5050"/>
      <color rgb="FFFF7C80"/>
      <color rgb="FFFF6699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ZYF" refreshedDate="42332.578940162035" createdVersion="5" refreshedVersion="5" minRefreshableVersion="3" recordCount="76">
  <cacheSource type="worksheet">
    <worksheetSource name="data"/>
  </cacheSource>
  <cacheFields count="7">
    <cacheField name="日期" numFmtId="181">
      <sharedItems containsSemiMixedTypes="0" containsNonDate="0" containsDate="1" containsString="0" minDate="2015-10-23T00:00:00" maxDate="2015-11-25T00:00:00" count="31"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</sharedItems>
    </cacheField>
    <cacheField name="科目" numFmtId="177">
      <sharedItems containsBlank="1" count="16">
        <s v="王佩丰Excel"/>
        <s v="曼昆-经济学原理（微观分册）"/>
        <s v="集体智慧编程(Programming Collective Intelligence)"/>
        <s v="VB.NET程序入门-中国大学MOOC"/>
        <s v="An Introduction to Interactive Programming in Python"/>
        <s v="微观经济学-中国大学MOOC"/>
        <s v="Python Cookbook"/>
        <s v="好快-意大利斜体"/>
        <s v="高数基础精讲-张宇"/>
        <s v="高等数学（一）-中国大学MOOC"/>
        <s v="Python 3.0教程-廖雪峰"/>
        <s v="百词斩-考研核心词汇"/>
        <s v="[王佩丰]Excel2010数据透视表视频教程"/>
        <s v="Python语言程序设计--中国大学MOOC"/>
        <s v="Flask官方教程"/>
        <m u="1"/>
      </sharedItems>
    </cacheField>
    <cacheField name="距离今天" numFmtId="37">
      <sharedItems containsSemiMixedTypes="0" containsString="0" containsNumber="1" containsInteger="1" minValue="0" maxValue="32"/>
    </cacheField>
    <cacheField name="时长" numFmtId="176">
      <sharedItems containsSemiMixedTypes="0" containsNonDate="0" containsDate="1" containsString="0" minDate="1899-12-30T00:21:00" maxDate="1899-12-30T02:30:00"/>
    </cacheField>
    <cacheField name="备注" numFmtId="0">
      <sharedItems containsBlank="1"/>
    </cacheField>
    <cacheField name="开始时间" numFmtId="176">
      <sharedItems containsNonDate="0" containsDate="1" containsString="0" containsBlank="1" minDate="1899-12-30T00:00:00" maxDate="1899-12-31T00:00:00"/>
    </cacheField>
    <cacheField name="结束时间" numFmtId="176">
      <sharedItems containsNonDate="0" containsDate="1" containsString="0" containsBlank="1" minDate="1899-12-30T02:25:00" maxDate="1899-12-30T20:45: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ZYF" refreshedDate="42332.57894039352" createdVersion="6" refreshedVersion="5" minRefreshableVersion="3" recordCount="31">
  <cacheSource type="worksheet">
    <worksheetSource name="运动"/>
  </cacheSource>
  <cacheFields count="4">
    <cacheField name="时间" numFmtId="22">
      <sharedItems containsSemiMixedTypes="0" containsNonDate="0" containsDate="1" containsString="0" minDate="2015-11-15T21:39:00" maxDate="2015-11-24T12:06:00" count="22">
        <d v="2015-11-15T21:39:00"/>
        <d v="2015-11-15T21:41:00"/>
        <d v="2015-11-15T21:43:00"/>
        <d v="2015-11-15T21:45:00"/>
        <d v="2015-11-15T21:47:00"/>
        <d v="2015-11-15T21:49:00"/>
        <d v="2015-11-15T22:02:00"/>
        <d v="2015-11-15T22:12:00"/>
        <d v="2015-11-17T00:00:00"/>
        <d v="2015-11-17T23:50:00"/>
        <d v="2015-11-18T17:01:00"/>
        <d v="2015-11-19T09:55:00"/>
        <d v="2015-11-19T10:13:00"/>
        <d v="2015-11-20T16:25:00"/>
        <d v="2015-11-22T17:59:00"/>
        <d v="2015-11-22T21:29:00"/>
        <d v="2015-11-23T13:13:00"/>
        <d v="2015-11-23T13:34:00"/>
        <d v="2015-11-23T20:22:00"/>
        <d v="2015-11-24T09:08:00"/>
        <d v="2015-11-24T10:08:00"/>
        <d v="2015-11-24T12:06:00"/>
      </sharedItems>
      <fieldGroup base="0">
        <rangePr groupBy="days" startDate="2015-11-15T21:39:00" endDate="2015-11-24T12:06:00"/>
        <groupItems count="368">
          <s v="&lt;2015-11-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5-11-24"/>
        </groupItems>
      </fieldGroup>
    </cacheField>
    <cacheField name="项目" numFmtId="177">
      <sharedItems count="6">
        <s v="下蹲"/>
        <s v="小腿上提"/>
        <s v="仰卧起坐"/>
        <s v="俯卧撑"/>
        <s v="眼保健操"/>
        <s v="上提水桶"/>
      </sharedItems>
    </cacheField>
    <cacheField name="距离今天" numFmtId="180">
      <sharedItems containsSemiMixedTypes="0" containsString="0" containsNumber="1" containsInteger="1" minValue="0" maxValue="9"/>
    </cacheField>
    <cacheField name="次数/时长" numFmtId="0">
      <sharedItems containsSemiMixedTypes="0" containsString="0" containsNumber="1" containsInteger="1" minValue="1" maxValue="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6">
  <r>
    <x v="0"/>
    <x v="0"/>
    <n v="32"/>
    <d v="1899-12-30T01:00:00"/>
    <m/>
    <m/>
    <m/>
  </r>
  <r>
    <x v="0"/>
    <x v="1"/>
    <n v="32"/>
    <d v="1899-12-30T01:30:00"/>
    <m/>
    <m/>
    <m/>
  </r>
  <r>
    <x v="1"/>
    <x v="2"/>
    <n v="31"/>
    <d v="1899-12-30T02:25:00"/>
    <m/>
    <d v="1899-12-30T00:00:00"/>
    <d v="1899-12-30T02:25:00"/>
  </r>
  <r>
    <x v="2"/>
    <x v="3"/>
    <n v="30"/>
    <d v="1899-12-30T00:21:00"/>
    <m/>
    <d v="1899-12-30T12:45:00"/>
    <d v="1899-12-30T13:06:00"/>
  </r>
  <r>
    <x v="3"/>
    <x v="0"/>
    <n v="29"/>
    <d v="1899-12-30T01:00:00"/>
    <m/>
    <m/>
    <m/>
  </r>
  <r>
    <x v="3"/>
    <x v="1"/>
    <n v="29"/>
    <d v="1899-12-30T01:00:00"/>
    <m/>
    <m/>
    <m/>
  </r>
  <r>
    <x v="4"/>
    <x v="0"/>
    <n v="28"/>
    <d v="1899-12-30T01:30:00"/>
    <m/>
    <m/>
    <m/>
  </r>
  <r>
    <x v="4"/>
    <x v="4"/>
    <n v="28"/>
    <d v="1899-12-30T00:30:00"/>
    <m/>
    <m/>
    <m/>
  </r>
  <r>
    <x v="5"/>
    <x v="0"/>
    <n v="27"/>
    <d v="1899-12-30T00:45:00"/>
    <m/>
    <m/>
    <m/>
  </r>
  <r>
    <x v="5"/>
    <x v="5"/>
    <n v="27"/>
    <d v="1899-12-30T01:05:00"/>
    <m/>
    <m/>
    <m/>
  </r>
  <r>
    <x v="6"/>
    <x v="0"/>
    <n v="26"/>
    <d v="1899-12-30T01:00:00"/>
    <m/>
    <m/>
    <m/>
  </r>
  <r>
    <x v="7"/>
    <x v="0"/>
    <n v="25"/>
    <d v="1899-12-30T01:00:00"/>
    <m/>
    <m/>
    <m/>
  </r>
  <r>
    <x v="8"/>
    <x v="6"/>
    <n v="24"/>
    <d v="1899-12-30T00:53:00"/>
    <m/>
    <d v="1899-12-30T14:37:00"/>
    <d v="1899-12-30T15:30:00"/>
  </r>
  <r>
    <x v="9"/>
    <x v="7"/>
    <n v="22"/>
    <d v="1899-12-30T00:45:00"/>
    <m/>
    <m/>
    <m/>
  </r>
  <r>
    <x v="10"/>
    <x v="0"/>
    <n v="21"/>
    <d v="1899-12-30T01:00:00"/>
    <m/>
    <m/>
    <m/>
  </r>
  <r>
    <x v="10"/>
    <x v="7"/>
    <n v="21"/>
    <d v="1899-12-30T00:30:00"/>
    <m/>
    <m/>
    <m/>
  </r>
  <r>
    <x v="11"/>
    <x v="0"/>
    <n v="20"/>
    <d v="1899-12-30T01:00:00"/>
    <m/>
    <m/>
    <m/>
  </r>
  <r>
    <x v="11"/>
    <x v="7"/>
    <n v="20"/>
    <d v="1899-12-30T00:30:00"/>
    <m/>
    <m/>
    <m/>
  </r>
  <r>
    <x v="11"/>
    <x v="1"/>
    <n v="20"/>
    <d v="1899-12-30T01:00:00"/>
    <m/>
    <m/>
    <m/>
  </r>
  <r>
    <x v="11"/>
    <x v="5"/>
    <n v="20"/>
    <d v="1899-12-30T01:30:00"/>
    <m/>
    <m/>
    <m/>
  </r>
  <r>
    <x v="11"/>
    <x v="8"/>
    <n v="20"/>
    <d v="1899-12-30T01:04:00"/>
    <m/>
    <d v="1899-12-30T19:41:00"/>
    <d v="1899-12-30T20:45:00"/>
  </r>
  <r>
    <x v="12"/>
    <x v="0"/>
    <n v="19"/>
    <d v="1899-12-30T01:10:00"/>
    <m/>
    <m/>
    <m/>
  </r>
  <r>
    <x v="12"/>
    <x v="9"/>
    <n v="19"/>
    <d v="1899-12-30T00:30:00"/>
    <m/>
    <m/>
    <m/>
  </r>
  <r>
    <x v="12"/>
    <x v="10"/>
    <n v="19"/>
    <d v="1899-12-30T01:00:00"/>
    <m/>
    <m/>
    <m/>
  </r>
  <r>
    <x v="13"/>
    <x v="0"/>
    <n v="18"/>
    <d v="1899-12-30T01:00:00"/>
    <m/>
    <m/>
    <m/>
  </r>
  <r>
    <x v="13"/>
    <x v="7"/>
    <n v="18"/>
    <d v="1899-12-30T00:45:00"/>
    <m/>
    <m/>
    <m/>
  </r>
  <r>
    <x v="13"/>
    <x v="10"/>
    <n v="18"/>
    <d v="1899-12-30T01:00:00"/>
    <m/>
    <m/>
    <m/>
  </r>
  <r>
    <x v="14"/>
    <x v="9"/>
    <n v="17"/>
    <d v="1899-12-30T00:30:00"/>
    <m/>
    <m/>
    <m/>
  </r>
  <r>
    <x v="14"/>
    <x v="10"/>
    <n v="17"/>
    <d v="1899-12-30T02:30:00"/>
    <m/>
    <m/>
    <m/>
  </r>
  <r>
    <x v="15"/>
    <x v="1"/>
    <n v="16"/>
    <d v="1899-12-30T00:45:00"/>
    <m/>
    <m/>
    <m/>
  </r>
  <r>
    <x v="15"/>
    <x v="5"/>
    <n v="16"/>
    <d v="1899-12-30T00:30:00"/>
    <m/>
    <m/>
    <m/>
  </r>
  <r>
    <x v="15"/>
    <x v="9"/>
    <n v="16"/>
    <d v="1899-12-30T00:45:00"/>
    <s v="初步了解mathematica"/>
    <m/>
    <m/>
  </r>
  <r>
    <x v="16"/>
    <x v="10"/>
    <n v="15"/>
    <d v="1899-12-30T01:00:00"/>
    <m/>
    <m/>
    <m/>
  </r>
  <r>
    <x v="16"/>
    <x v="0"/>
    <n v="15"/>
    <d v="1899-12-30T01:00:00"/>
    <m/>
    <m/>
    <m/>
  </r>
  <r>
    <x v="16"/>
    <x v="7"/>
    <n v="15"/>
    <d v="1899-12-30T00:30:00"/>
    <m/>
    <m/>
    <m/>
  </r>
  <r>
    <x v="16"/>
    <x v="11"/>
    <n v="15"/>
    <d v="1899-12-30T01:15:00"/>
    <m/>
    <m/>
    <m/>
  </r>
  <r>
    <x v="17"/>
    <x v="0"/>
    <n v="14"/>
    <d v="1899-12-30T00:30:00"/>
    <s v="第24讲是宏表函数，觉得并没有什么用，没怎么看"/>
    <m/>
    <m/>
  </r>
  <r>
    <x v="17"/>
    <x v="7"/>
    <n v="14"/>
    <d v="1899-12-30T00:30:00"/>
    <m/>
    <m/>
    <m/>
  </r>
  <r>
    <x v="18"/>
    <x v="12"/>
    <n v="13"/>
    <d v="1899-12-30T01:00:00"/>
    <m/>
    <m/>
    <m/>
  </r>
  <r>
    <x v="18"/>
    <x v="11"/>
    <n v="13"/>
    <d v="1899-12-30T00:45:00"/>
    <m/>
    <m/>
    <m/>
  </r>
  <r>
    <x v="19"/>
    <x v="11"/>
    <n v="12"/>
    <d v="1899-12-30T01:00:00"/>
    <m/>
    <m/>
    <m/>
  </r>
  <r>
    <x v="19"/>
    <x v="7"/>
    <n v="12"/>
    <d v="1899-12-30T00:40:00"/>
    <m/>
    <m/>
    <m/>
  </r>
  <r>
    <x v="20"/>
    <x v="11"/>
    <n v="11"/>
    <d v="1899-12-30T01:10:00"/>
    <m/>
    <m/>
    <m/>
  </r>
  <r>
    <x v="20"/>
    <x v="7"/>
    <n v="11"/>
    <d v="1899-12-30T00:30:00"/>
    <m/>
    <m/>
    <m/>
  </r>
  <r>
    <x v="21"/>
    <x v="13"/>
    <n v="9"/>
    <d v="1899-12-30T02:00:00"/>
    <m/>
    <m/>
    <m/>
  </r>
  <r>
    <x v="22"/>
    <x v="7"/>
    <n v="8"/>
    <d v="1899-12-30T00:30:00"/>
    <m/>
    <m/>
    <m/>
  </r>
  <r>
    <x v="22"/>
    <x v="12"/>
    <n v="8"/>
    <d v="1899-12-30T01:00:00"/>
    <m/>
    <m/>
    <m/>
  </r>
  <r>
    <x v="22"/>
    <x v="11"/>
    <n v="8"/>
    <d v="1899-12-30T00:30:00"/>
    <m/>
    <m/>
    <m/>
  </r>
  <r>
    <x v="22"/>
    <x v="13"/>
    <n v="8"/>
    <d v="1899-12-30T01:00:00"/>
    <m/>
    <m/>
    <m/>
  </r>
  <r>
    <x v="22"/>
    <x v="13"/>
    <n v="8"/>
    <d v="1899-12-30T00:30:00"/>
    <m/>
    <m/>
    <m/>
  </r>
  <r>
    <x v="23"/>
    <x v="11"/>
    <n v="7"/>
    <d v="1899-12-30T00:45:00"/>
    <m/>
    <m/>
    <m/>
  </r>
  <r>
    <x v="23"/>
    <x v="7"/>
    <n v="7"/>
    <d v="1899-12-30T00:30:00"/>
    <m/>
    <m/>
    <m/>
  </r>
  <r>
    <x v="23"/>
    <x v="12"/>
    <n v="7"/>
    <d v="1899-12-30T00:45:00"/>
    <m/>
    <m/>
    <m/>
  </r>
  <r>
    <x v="23"/>
    <x v="14"/>
    <n v="7"/>
    <d v="1899-12-30T01:00:00"/>
    <m/>
    <m/>
    <m/>
  </r>
  <r>
    <x v="24"/>
    <x v="11"/>
    <n v="6"/>
    <d v="1899-12-30T00:45:00"/>
    <m/>
    <m/>
    <m/>
  </r>
  <r>
    <x v="24"/>
    <x v="7"/>
    <n v="6"/>
    <d v="1899-12-30T00:30:00"/>
    <m/>
    <m/>
    <m/>
  </r>
  <r>
    <x v="24"/>
    <x v="13"/>
    <n v="6"/>
    <d v="1899-12-30T00:30:00"/>
    <m/>
    <m/>
    <m/>
  </r>
  <r>
    <x v="25"/>
    <x v="13"/>
    <n v="5"/>
    <d v="1899-12-30T01:15:00"/>
    <m/>
    <m/>
    <m/>
  </r>
  <r>
    <x v="25"/>
    <x v="11"/>
    <n v="5"/>
    <d v="1899-12-30T00:30:00"/>
    <m/>
    <m/>
    <m/>
  </r>
  <r>
    <x v="25"/>
    <x v="9"/>
    <n v="5"/>
    <d v="1899-12-30T00:45:00"/>
    <m/>
    <m/>
    <m/>
  </r>
  <r>
    <x v="25"/>
    <x v="7"/>
    <n v="5"/>
    <d v="1899-12-30T00:45:00"/>
    <m/>
    <m/>
    <m/>
  </r>
  <r>
    <x v="25"/>
    <x v="12"/>
    <n v="5"/>
    <d v="1899-12-30T01:00:00"/>
    <m/>
    <m/>
    <m/>
  </r>
  <r>
    <x v="25"/>
    <x v="14"/>
    <n v="5"/>
    <d v="1899-12-30T02:00:00"/>
    <m/>
    <m/>
    <m/>
  </r>
  <r>
    <x v="26"/>
    <x v="11"/>
    <n v="4"/>
    <d v="1899-12-30T00:50:00"/>
    <m/>
    <m/>
    <m/>
  </r>
  <r>
    <x v="26"/>
    <x v="7"/>
    <n v="4"/>
    <d v="1899-12-30T00:40:00"/>
    <m/>
    <m/>
    <m/>
  </r>
  <r>
    <x v="26"/>
    <x v="10"/>
    <n v="4"/>
    <d v="1899-12-30T00:40:00"/>
    <m/>
    <m/>
    <m/>
  </r>
  <r>
    <x v="26"/>
    <x v="12"/>
    <n v="4"/>
    <d v="1899-12-30T01:00:00"/>
    <m/>
    <m/>
    <m/>
  </r>
  <r>
    <x v="26"/>
    <x v="14"/>
    <n v="4"/>
    <d v="1899-12-30T02:00:00"/>
    <m/>
    <m/>
    <m/>
  </r>
  <r>
    <x v="27"/>
    <x v="14"/>
    <n v="3"/>
    <d v="1899-12-30T01:25:00"/>
    <s v="学习起来比较困难，搁浅"/>
    <m/>
    <m/>
  </r>
  <r>
    <x v="28"/>
    <x v="13"/>
    <n v="2"/>
    <d v="1899-12-30T00:30:00"/>
    <m/>
    <m/>
    <m/>
  </r>
  <r>
    <x v="28"/>
    <x v="7"/>
    <n v="2"/>
    <d v="1899-12-30T00:30:00"/>
    <m/>
    <m/>
    <m/>
  </r>
  <r>
    <x v="29"/>
    <x v="7"/>
    <n v="1"/>
    <d v="1899-12-30T00:35:00"/>
    <m/>
    <m/>
    <m/>
  </r>
  <r>
    <x v="29"/>
    <x v="12"/>
    <n v="1"/>
    <d v="1899-12-30T00:30:00"/>
    <m/>
    <m/>
    <m/>
  </r>
  <r>
    <x v="29"/>
    <x v="13"/>
    <n v="1"/>
    <d v="1899-12-30T00:45:00"/>
    <m/>
    <m/>
    <m/>
  </r>
  <r>
    <x v="30"/>
    <x v="7"/>
    <n v="0"/>
    <d v="1899-12-30T00:45:00"/>
    <m/>
    <m/>
    <m/>
  </r>
  <r>
    <x v="30"/>
    <x v="11"/>
    <n v="0"/>
    <d v="1899-12-30T01:00:00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1">
  <r>
    <x v="0"/>
    <x v="0"/>
    <n v="9"/>
    <n v="30"/>
  </r>
  <r>
    <x v="1"/>
    <x v="1"/>
    <n v="9"/>
    <n v="50"/>
  </r>
  <r>
    <x v="2"/>
    <x v="2"/>
    <n v="9"/>
    <n v="13"/>
  </r>
  <r>
    <x v="3"/>
    <x v="3"/>
    <n v="9"/>
    <n v="10"/>
  </r>
  <r>
    <x v="4"/>
    <x v="0"/>
    <n v="9"/>
    <n v="30"/>
  </r>
  <r>
    <x v="5"/>
    <x v="1"/>
    <n v="9"/>
    <n v="45"/>
  </r>
  <r>
    <x v="6"/>
    <x v="2"/>
    <n v="9"/>
    <n v="20"/>
  </r>
  <r>
    <x v="7"/>
    <x v="3"/>
    <n v="9"/>
    <n v="15"/>
  </r>
  <r>
    <x v="8"/>
    <x v="3"/>
    <n v="7"/>
    <n v="20"/>
  </r>
  <r>
    <x v="8"/>
    <x v="3"/>
    <n v="7"/>
    <n v="15"/>
  </r>
  <r>
    <x v="9"/>
    <x v="1"/>
    <n v="7"/>
    <n v="35"/>
  </r>
  <r>
    <x v="9"/>
    <x v="2"/>
    <n v="7"/>
    <n v="20"/>
  </r>
  <r>
    <x v="9"/>
    <x v="3"/>
    <n v="7"/>
    <n v="15"/>
  </r>
  <r>
    <x v="9"/>
    <x v="0"/>
    <n v="7"/>
    <n v="35"/>
  </r>
  <r>
    <x v="10"/>
    <x v="4"/>
    <n v="6"/>
    <n v="1"/>
  </r>
  <r>
    <x v="11"/>
    <x v="4"/>
    <n v="5"/>
    <n v="1"/>
  </r>
  <r>
    <x v="12"/>
    <x v="3"/>
    <n v="5"/>
    <n v="15"/>
  </r>
  <r>
    <x v="13"/>
    <x v="3"/>
    <n v="4"/>
    <n v="10"/>
  </r>
  <r>
    <x v="13"/>
    <x v="3"/>
    <n v="4"/>
    <n v="15"/>
  </r>
  <r>
    <x v="13"/>
    <x v="3"/>
    <n v="4"/>
    <n v="16"/>
  </r>
  <r>
    <x v="14"/>
    <x v="5"/>
    <n v="2"/>
    <n v="10"/>
  </r>
  <r>
    <x v="14"/>
    <x v="5"/>
    <n v="2"/>
    <n v="10"/>
  </r>
  <r>
    <x v="14"/>
    <x v="5"/>
    <n v="2"/>
    <n v="10"/>
  </r>
  <r>
    <x v="14"/>
    <x v="5"/>
    <n v="2"/>
    <n v="10"/>
  </r>
  <r>
    <x v="15"/>
    <x v="5"/>
    <n v="2"/>
    <n v="10"/>
  </r>
  <r>
    <x v="16"/>
    <x v="4"/>
    <n v="1"/>
    <n v="1"/>
  </r>
  <r>
    <x v="17"/>
    <x v="3"/>
    <n v="1"/>
    <n v="17"/>
  </r>
  <r>
    <x v="18"/>
    <x v="5"/>
    <n v="1"/>
    <n v="20"/>
  </r>
  <r>
    <x v="19"/>
    <x v="5"/>
    <n v="0"/>
    <n v="10"/>
  </r>
  <r>
    <x v="20"/>
    <x v="3"/>
    <n v="0"/>
    <n v="15"/>
  </r>
  <r>
    <x v="21"/>
    <x v="3"/>
    <n v="0"/>
    <n v="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数据透视表2" cacheId="5" applyNumberFormats="0" applyBorderFormats="0" applyFontFormats="0" applyPatternFormats="0" applyAlignmentFormats="0" applyWidthHeightFormats="1" dataCaption="值" updatedVersion="5" minRefreshableVersion="3" colGrandTotals="0" itemPrintTitles="1" createdVersion="5" indent="0" outline="1" outlineData="1" multipleFieldFilters="0">
  <location ref="B89:E95" firstHeaderRow="1" firstDataRow="2" firstDataCol="1"/>
  <pivotFields count="7">
    <pivotField axis="axisCol" numFmtId="181" showAll="0" sortType="descending">
      <items count="32"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Row" showAll="0">
      <items count="17">
        <item x="12"/>
        <item x="4"/>
        <item x="10"/>
        <item x="6"/>
        <item x="13"/>
        <item x="3"/>
        <item x="11"/>
        <item x="9"/>
        <item x="8"/>
        <item x="7"/>
        <item x="2"/>
        <item x="1"/>
        <item x="0"/>
        <item x="5"/>
        <item m="1" x="15"/>
        <item x="14"/>
        <item t="default"/>
      </items>
    </pivotField>
    <pivotField showAll="0"/>
    <pivotField dataField="1" showAll="0"/>
    <pivotField showAll="0"/>
    <pivotField showAll="0"/>
    <pivotField showAll="0"/>
  </pivotFields>
  <rowFields count="1">
    <field x="1"/>
  </rowFields>
  <rowItems count="5">
    <i>
      <x/>
    </i>
    <i>
      <x v="4"/>
    </i>
    <i>
      <x v="6"/>
    </i>
    <i>
      <x v="9"/>
    </i>
    <i t="grand">
      <x/>
    </i>
  </rowItems>
  <colFields count="1">
    <field x="0"/>
  </colFields>
  <colItems count="3">
    <i>
      <x/>
    </i>
    <i>
      <x v="1"/>
    </i>
    <i>
      <x v="2"/>
    </i>
  </colItems>
  <dataFields count="1">
    <dataField name="求和项:时长" fld="3" baseField="0" baseItem="3" numFmtId="176"/>
  </dataFields>
  <formats count="22">
    <format dxfId="61">
      <pivotArea outline="0" collapsedLevelsAreSubtotals="1" fieldPosition="0"/>
    </format>
    <format dxfId="60">
      <pivotArea type="all" dataOnly="0" outline="0" fieldPosition="0"/>
    </format>
    <format dxfId="59">
      <pivotArea field="0" type="button" dataOnly="0" labelOnly="1" outline="0" axis="axisCol" fieldPosition="0"/>
    </format>
    <format dxfId="58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57">
      <pivotArea dataOnly="0" labelOnly="1" grandCol="1" outline="0" fieldPosition="0"/>
    </format>
    <format dxfId="56">
      <pivotArea field="0" type="button" dataOnly="0" labelOnly="1" outline="0" axis="axisCol" fieldPosition="0"/>
    </format>
    <format dxfId="55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54">
      <pivotArea dataOnly="0" labelOnly="1" grandCol="1" outline="0" fieldPosition="0"/>
    </format>
    <format dxfId="53">
      <pivotArea dataOnly="0" labelOnly="1" grandCol="1" outline="0" fieldPosition="0"/>
    </format>
    <format dxfId="52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51">
      <pivotArea dataOnly="0" labelOnly="1" grandRow="1" outline="0" fieldPosition="0"/>
    </format>
    <format dxfId="50">
      <pivotArea field="1" type="button" dataOnly="0" labelOnly="1" outline="0" axis="axisRow" fieldPosition="0"/>
    </format>
    <format dxfId="49">
      <pivotArea dataOnly="0" labelOnly="1" fieldPosition="0">
        <references count="1">
          <reference field="1" count="1">
            <x v="0"/>
          </reference>
        </references>
      </pivotArea>
    </format>
    <format dxfId="48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47">
      <pivotArea field="1" type="button" dataOnly="0" labelOnly="1" outline="0" axis="axisRow" fieldPosition="0"/>
    </format>
    <format dxfId="46">
      <pivotArea dataOnly="0" labelOnly="1" fieldPosition="0">
        <references count="1">
          <reference field="1" count="1">
            <x v="15"/>
          </reference>
        </references>
      </pivotArea>
    </format>
    <format dxfId="45">
      <pivotArea outline="0" collapsedLevelsAreSubtotals="1" fieldPosition="0">
        <references count="1">
          <reference field="0" count="1" selected="0">
            <x v="1"/>
          </reference>
        </references>
      </pivotArea>
    </format>
    <format dxfId="44">
      <pivotArea field="0" type="button" dataOnly="0" labelOnly="1" outline="0" axis="axisCol" fieldPosition="0"/>
    </format>
    <format dxfId="43">
      <pivotArea dataOnly="0" labelOnly="1" fieldPosition="0">
        <references count="1">
          <reference field="0" count="1">
            <x v="1"/>
          </reference>
        </references>
      </pivotArea>
    </format>
    <format dxfId="42">
      <pivotArea outline="0" collapsedLevelsAreSubtotals="1" fieldPosition="0">
        <references count="1">
          <reference field="0" count="1" selected="0">
            <x v="1"/>
          </reference>
        </references>
      </pivotArea>
    </format>
    <format dxfId="41">
      <pivotArea outline="0" collapsedLevelsAreSubtotals="1" fieldPosition="0">
        <references count="1">
          <reference field="0" count="1" selected="0">
            <x v="1"/>
          </reference>
        </references>
      </pivotArea>
    </format>
    <format dxfId="40">
      <pivotArea dataOnly="0" labelOnly="1" fieldPosition="0">
        <references count="1">
          <reference field="0" count="1">
            <x v="1"/>
          </reference>
        </references>
      </pivotArea>
    </format>
  </formats>
  <pivotTableStyleInfo name="学习" showRowHeaders="1" showColHeaders="1" showRowStripes="1" showColStripes="1" showLastColumn="1"/>
  <filters count="1">
    <filter fld="0" type="thisWeek" evalOrder="-1" id="22">
      <autoFilter ref="A1">
        <filterColumn colId="0">
          <dynamicFilter type="thisWeek" val="42330" maxVal="42337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9" applyNumberFormats="0" applyBorderFormats="0" applyFontFormats="0" applyPatternFormats="0" applyAlignmentFormats="0" applyWidthHeightFormats="1" dataCaption="值" showError="1" updatedVersion="5" minRefreshableVersion="3" itemPrintTitles="1" createdVersion="5" indent="0" outline="1" outlineData="1" multipleFieldFilters="0">
  <location ref="F45:J50" firstHeaderRow="1" firstDataRow="2" firstDataCol="1"/>
  <pivotFields count="4">
    <pivotField axis="axisCol" numFmtId="22" showAll="0" sortType="descending">
      <items count="369">
        <item x="253"/>
        <item x="252"/>
        <item x="251"/>
        <item x="250"/>
        <item x="249"/>
        <item x="248"/>
        <item x="247"/>
        <item x="274"/>
        <item x="246"/>
        <item x="273"/>
        <item x="272"/>
        <item x="271"/>
        <item x="270"/>
        <item x="269"/>
        <item x="268"/>
        <item x="267"/>
        <item x="266"/>
        <item x="265"/>
        <item x="264"/>
        <item x="245"/>
        <item x="263"/>
        <item x="262"/>
        <item x="261"/>
        <item x="260"/>
        <item x="259"/>
        <item x="258"/>
        <item x="257"/>
        <item x="256"/>
        <item x="255"/>
        <item x="254"/>
        <item x="222"/>
        <item x="221"/>
        <item x="220"/>
        <item x="219"/>
        <item x="218"/>
        <item x="217"/>
        <item x="216"/>
        <item x="244"/>
        <item x="243"/>
        <item x="215"/>
        <item x="242"/>
        <item x="241"/>
        <item x="240"/>
        <item x="239"/>
        <item x="238"/>
        <item x="237"/>
        <item x="236"/>
        <item x="235"/>
        <item x="234"/>
        <item x="233"/>
        <item x="214"/>
        <item x="232"/>
        <item x="231"/>
        <item x="230"/>
        <item x="229"/>
        <item x="228"/>
        <item x="227"/>
        <item x="226"/>
        <item x="225"/>
        <item x="224"/>
        <item x="223"/>
        <item x="191"/>
        <item x="190"/>
        <item x="189"/>
        <item x="188"/>
        <item x="187"/>
        <item x="186"/>
        <item x="185"/>
        <item x="213"/>
        <item x="212"/>
        <item x="184"/>
        <item x="211"/>
        <item x="210"/>
        <item x="209"/>
        <item x="208"/>
        <item x="207"/>
        <item x="206"/>
        <item x="205"/>
        <item x="204"/>
        <item x="203"/>
        <item x="202"/>
        <item x="183"/>
        <item x="201"/>
        <item x="200"/>
        <item x="199"/>
        <item x="198"/>
        <item x="197"/>
        <item x="196"/>
        <item x="195"/>
        <item x="194"/>
        <item x="193"/>
        <item x="192"/>
        <item x="161"/>
        <item x="160"/>
        <item x="159"/>
        <item x="158"/>
        <item x="157"/>
        <item x="156"/>
        <item x="155"/>
        <item x="182"/>
        <item x="154"/>
        <item x="181"/>
        <item x="180"/>
        <item x="179"/>
        <item x="178"/>
        <item x="177"/>
        <item x="176"/>
        <item x="175"/>
        <item x="174"/>
        <item x="173"/>
        <item x="172"/>
        <item x="153"/>
        <item x="171"/>
        <item x="170"/>
        <item x="169"/>
        <item x="168"/>
        <item x="167"/>
        <item x="166"/>
        <item x="165"/>
        <item x="164"/>
        <item x="163"/>
        <item x="162"/>
        <item x="130"/>
        <item x="129"/>
        <item x="128"/>
        <item x="127"/>
        <item x="126"/>
        <item x="125"/>
        <item x="124"/>
        <item x="152"/>
        <item x="151"/>
        <item x="123"/>
        <item x="150"/>
        <item x="149"/>
        <item x="148"/>
        <item x="147"/>
        <item x="146"/>
        <item x="145"/>
        <item x="144"/>
        <item x="143"/>
        <item x="142"/>
        <item x="141"/>
        <item x="122"/>
        <item x="140"/>
        <item x="139"/>
        <item x="138"/>
        <item x="137"/>
        <item x="136"/>
        <item x="135"/>
        <item x="134"/>
        <item x="133"/>
        <item x="132"/>
        <item x="131"/>
        <item x="100"/>
        <item x="99"/>
        <item x="98"/>
        <item x="97"/>
        <item x="96"/>
        <item x="95"/>
        <item x="94"/>
        <item x="121"/>
        <item x="93"/>
        <item x="120"/>
        <item x="119"/>
        <item x="118"/>
        <item x="117"/>
        <item x="116"/>
        <item x="115"/>
        <item x="114"/>
        <item x="113"/>
        <item x="112"/>
        <item x="111"/>
        <item x="92"/>
        <item x="110"/>
        <item x="109"/>
        <item x="108"/>
        <item x="107"/>
        <item x="106"/>
        <item x="105"/>
        <item x="104"/>
        <item x="103"/>
        <item x="102"/>
        <item x="101"/>
        <item x="69"/>
        <item x="68"/>
        <item x="67"/>
        <item x="66"/>
        <item x="65"/>
        <item x="64"/>
        <item x="63"/>
        <item x="91"/>
        <item x="90"/>
        <item x="62"/>
        <item x="89"/>
        <item x="88"/>
        <item x="87"/>
        <item x="86"/>
        <item x="85"/>
        <item x="84"/>
        <item x="83"/>
        <item x="82"/>
        <item x="81"/>
        <item x="80"/>
        <item x="61"/>
        <item x="79"/>
        <item x="78"/>
        <item x="77"/>
        <item x="76"/>
        <item x="75"/>
        <item x="74"/>
        <item x="73"/>
        <item x="72"/>
        <item x="71"/>
        <item x="70"/>
        <item x="40"/>
        <item x="39"/>
        <item x="38"/>
        <item x="37"/>
        <item x="36"/>
        <item x="35"/>
        <item x="34"/>
        <item x="33"/>
        <item x="60"/>
        <item x="59"/>
        <item x="58"/>
        <item x="57"/>
        <item x="56"/>
        <item x="55"/>
        <item x="54"/>
        <item x="53"/>
        <item x="52"/>
        <item x="51"/>
        <item x="32"/>
        <item x="50"/>
        <item x="49"/>
        <item x="48"/>
        <item x="47"/>
        <item x="46"/>
        <item x="45"/>
        <item x="44"/>
        <item x="43"/>
        <item x="42"/>
        <item x="41"/>
        <item x="9"/>
        <item x="8"/>
        <item x="7"/>
        <item x="6"/>
        <item x="5"/>
        <item x="4"/>
        <item x="3"/>
        <item x="31"/>
        <item x="30"/>
        <item x="2"/>
        <item x="29"/>
        <item x="28"/>
        <item x="27"/>
        <item x="26"/>
        <item x="25"/>
        <item x="24"/>
        <item x="23"/>
        <item x="22"/>
        <item x="21"/>
        <item x="20"/>
        <item x="1"/>
        <item x="19"/>
        <item x="18"/>
        <item x="17"/>
        <item x="16"/>
        <item x="15"/>
        <item x="14"/>
        <item x="13"/>
        <item x="12"/>
        <item x="11"/>
        <item x="10"/>
        <item x="344"/>
        <item x="343"/>
        <item x="342"/>
        <item x="341"/>
        <item x="340"/>
        <item x="339"/>
        <item x="338"/>
        <item x="366"/>
        <item x="365"/>
        <item x="337"/>
        <item x="364"/>
        <item x="363"/>
        <item x="362"/>
        <item x="361"/>
        <item x="360"/>
        <item x="359"/>
        <item x="358"/>
        <item x="357"/>
        <item x="356"/>
        <item x="355"/>
        <item x="336"/>
        <item x="354"/>
        <item x="353"/>
        <item x="352"/>
        <item x="351"/>
        <item x="350"/>
        <item x="349"/>
        <item x="348"/>
        <item x="347"/>
        <item x="346"/>
        <item x="345"/>
        <item x="314"/>
        <item x="313"/>
        <item x="312"/>
        <item x="311"/>
        <item x="310"/>
        <item x="309"/>
        <item x="308"/>
        <item x="335"/>
        <item x="307"/>
        <item x="334"/>
        <item x="333"/>
        <item x="332"/>
        <item x="331"/>
        <item x="330"/>
        <item x="329"/>
        <item x="328"/>
        <item x="327"/>
        <item x="326"/>
        <item x="325"/>
        <item x="306"/>
        <item x="324"/>
        <item x="323"/>
        <item x="322"/>
        <item x="321"/>
        <item x="320"/>
        <item x="319"/>
        <item x="318"/>
        <item x="317"/>
        <item x="316"/>
        <item x="315"/>
        <item x="283"/>
        <item x="282"/>
        <item x="281"/>
        <item x="280"/>
        <item x="279"/>
        <item x="278"/>
        <item x="277"/>
        <item x="305"/>
        <item x="304"/>
        <item x="276"/>
        <item x="303"/>
        <item x="302"/>
        <item x="301"/>
        <item x="300"/>
        <item x="299"/>
        <item x="298"/>
        <item x="297"/>
        <item x="296"/>
        <item x="295"/>
        <item x="294"/>
        <item x="275"/>
        <item x="293"/>
        <item x="292"/>
        <item x="291"/>
        <item x="290"/>
        <item x="289"/>
        <item x="288"/>
        <item x="287"/>
        <item x="286"/>
        <item x="285"/>
        <item x="284"/>
        <item x="367"/>
        <item x="0"/>
        <item t="default"/>
      </items>
    </pivotField>
    <pivotField axis="axisRow" showAll="0">
      <items count="7">
        <item x="3"/>
        <item x="0"/>
        <item x="1"/>
        <item x="2"/>
        <item x="4"/>
        <item x="5"/>
        <item t="default"/>
      </items>
    </pivotField>
    <pivotField numFmtId="180" showAll="0" defaultSubtotal="0"/>
    <pivotField dataField="1" showAll="0"/>
  </pivotFields>
  <rowFields count="1">
    <field x="1"/>
  </rowFields>
  <rowItems count="4">
    <i>
      <x/>
    </i>
    <i>
      <x v="4"/>
    </i>
    <i>
      <x v="5"/>
    </i>
    <i t="grand">
      <x/>
    </i>
  </rowItems>
  <colFields count="1">
    <field x="0"/>
  </colFields>
  <colItems count="4">
    <i>
      <x v="319"/>
    </i>
    <i>
      <x v="320"/>
    </i>
    <i>
      <x v="321"/>
    </i>
    <i t="grand">
      <x/>
    </i>
  </colItems>
  <dataFields count="1">
    <dataField name="求和项:次数/时长" fld="3" baseField="0" baseItem="0"/>
  </dataFields>
  <formats count="1">
    <format dxfId="26">
      <pivotArea type="all" dataOnly="0" outline="0" fieldPosition="0"/>
    </format>
  </formats>
  <pivotTableStyleInfo name="PivotStyleLight16" showRowHeaders="1" showColHeaders="1" showRowStripes="0" showColStripes="1" showLastColumn="1"/>
  <filters count="1">
    <filter fld="0" type="thisWeek" evalOrder="-1" id="1">
      <autoFilter ref="A1">
        <filterColumn colId="0">
          <dynamicFilter type="thisWeek" val="42330" maxVal="42337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表2" displayName="表2" ref="A1:G77">
  <autoFilter ref="A1:G77"/>
  <tableColumns count="7">
    <tableColumn id="1" name="日期" totalsRowLabel="汇总" dataDxfId="39" totalsRowDxfId="38"/>
    <tableColumn id="2" name="科目" totalsRowDxfId="37"/>
    <tableColumn id="3" name="距离今天" dataDxfId="36" totalsRowDxfId="35">
      <calculatedColumnFormula>TODAY()-A2</calculatedColumnFormula>
    </tableColumn>
    <tableColumn id="4" name="时长" dataDxfId="34" totalsRowDxfId="33"/>
    <tableColumn id="5" name="备注" dataDxfId="32" totalsRowDxfId="31"/>
    <tableColumn id="6" name="开始时间" dataDxfId="30" totalsRowDxfId="29"/>
    <tableColumn id="7" name="结束时间" totalsRowFunction="count" dataDxfId="28" totalsRowDxfId="27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1:D32" totalsRowShown="0">
  <autoFilter ref="A1:D32"/>
  <tableColumns count="4">
    <tableColumn id="1" name="时间" dataDxfId="25"/>
    <tableColumn id="2" name="项目"/>
    <tableColumn id="3" name="距离今天" dataDxfId="24">
      <calculatedColumnFormula>TODAY()-ROUNDDOWN(A2,0)</calculatedColumnFormula>
    </tableColumn>
    <tableColumn id="4" name="次数/时长" dataDxfId="2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course163.org/learn/nudt-9004?tid=357001" TargetMode="External"/><Relationship Id="rId2" Type="http://schemas.openxmlformats.org/officeDocument/2006/relationships/hyperlink" Target="http://www.xuetangx.com/courses/course-v1:TsinghuaX+10421075X_2015_2+2015_T2/" TargetMode="External"/><Relationship Id="rId1" Type="http://schemas.openxmlformats.org/officeDocument/2006/relationships/hyperlink" Target="http://www.icourse163.org/learn/zju-199001?tid=417003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K34"/>
  <sheetViews>
    <sheetView workbookViewId="0">
      <selection activeCell="G3" sqref="G3"/>
    </sheetView>
  </sheetViews>
  <sheetFormatPr defaultColWidth="19.5" defaultRowHeight="16.5"/>
  <cols>
    <col min="1" max="1" width="10.125" style="29" bestFit="1" customWidth="1"/>
    <col min="2" max="2" width="17.5" style="30" bestFit="1" customWidth="1"/>
    <col min="3" max="3" width="20.375" style="31" customWidth="1"/>
    <col min="4" max="4" width="18.625" style="30" bestFit="1" customWidth="1"/>
    <col min="5" max="5" width="16.25" style="30" customWidth="1"/>
    <col min="6" max="7" width="13.125" style="30" customWidth="1"/>
    <col min="8" max="11" width="13.125" style="10" customWidth="1"/>
    <col min="12" max="16384" width="19.5" style="10"/>
  </cols>
  <sheetData>
    <row r="1" spans="1:11">
      <c r="A1" s="14"/>
      <c r="B1" s="15"/>
      <c r="C1" s="16"/>
      <c r="D1" s="17"/>
      <c r="E1" s="10"/>
      <c r="F1" s="9"/>
      <c r="G1" s="9" t="s">
        <v>39</v>
      </c>
      <c r="H1" s="10" t="s">
        <v>40</v>
      </c>
    </row>
    <row r="2" spans="1:11" s="11" customFormat="1">
      <c r="A2" s="18"/>
      <c r="B2" s="19"/>
      <c r="C2" s="20"/>
      <c r="D2" s="21"/>
      <c r="F2" s="11">
        <v>42306</v>
      </c>
      <c r="G2" s="11">
        <v>42364</v>
      </c>
      <c r="H2" s="11">
        <v>42408</v>
      </c>
      <c r="I2" s="11">
        <v>42468</v>
      </c>
      <c r="J2" s="11">
        <v>42546</v>
      </c>
      <c r="K2" s="11">
        <v>42728</v>
      </c>
    </row>
    <row r="3" spans="1:11">
      <c r="A3" s="14"/>
      <c r="B3" s="15"/>
      <c r="C3" s="16"/>
      <c r="D3" s="17"/>
      <c r="E3" s="10"/>
      <c r="F3" s="9"/>
      <c r="G3" s="12">
        <f ca="1">G2-TODAY()</f>
        <v>32</v>
      </c>
      <c r="H3" s="13">
        <f ca="1">H2-TODAY()</f>
        <v>76</v>
      </c>
      <c r="I3" s="13">
        <f ca="1">I2-TODAY()</f>
        <v>136</v>
      </c>
      <c r="J3" s="13">
        <f ca="1">J2-TODAY()</f>
        <v>214</v>
      </c>
      <c r="K3" s="13">
        <f ca="1">K2-TODAY()</f>
        <v>396</v>
      </c>
    </row>
    <row r="4" spans="1:11">
      <c r="A4" s="14"/>
      <c r="B4" s="15"/>
      <c r="C4" s="16"/>
      <c r="D4" s="17"/>
      <c r="E4" s="10"/>
      <c r="F4" s="10"/>
      <c r="G4" s="10"/>
    </row>
    <row r="5" spans="1:11" ht="66">
      <c r="A5" s="14" t="s">
        <v>41</v>
      </c>
      <c r="B5" s="15" t="s">
        <v>54</v>
      </c>
      <c r="C5" s="22" t="s">
        <v>24</v>
      </c>
      <c r="D5" s="23" t="s">
        <v>14</v>
      </c>
      <c r="E5" s="10"/>
      <c r="F5" s="10"/>
      <c r="G5" s="10"/>
    </row>
    <row r="6" spans="1:11">
      <c r="A6" s="14" t="s">
        <v>41</v>
      </c>
      <c r="B6" s="15" t="s">
        <v>64</v>
      </c>
      <c r="C6" s="16"/>
      <c r="D6" s="17"/>
      <c r="E6" s="10"/>
      <c r="F6" s="10"/>
      <c r="G6" s="10"/>
    </row>
    <row r="7" spans="1:11">
      <c r="A7" s="14" t="s">
        <v>41</v>
      </c>
      <c r="B7" s="15" t="s">
        <v>65</v>
      </c>
      <c r="C7" s="16"/>
      <c r="D7" s="17"/>
      <c r="E7" s="10"/>
      <c r="F7" s="10"/>
      <c r="G7" s="10"/>
    </row>
    <row r="8" spans="1:11">
      <c r="A8" s="14" t="s">
        <v>62</v>
      </c>
      <c r="B8" s="15" t="s">
        <v>55</v>
      </c>
      <c r="C8" s="16" t="s">
        <v>42</v>
      </c>
      <c r="D8" s="17"/>
      <c r="E8" s="10"/>
      <c r="F8" s="10"/>
      <c r="G8" s="10"/>
    </row>
    <row r="9" spans="1:11">
      <c r="A9" s="14" t="s">
        <v>62</v>
      </c>
      <c r="B9" s="15" t="s">
        <v>56</v>
      </c>
      <c r="C9" s="16"/>
      <c r="D9" s="17"/>
      <c r="E9" s="10"/>
      <c r="F9" s="10"/>
      <c r="G9" s="10"/>
    </row>
    <row r="10" spans="1:11">
      <c r="A10" s="14" t="s">
        <v>62</v>
      </c>
      <c r="B10" s="15" t="s">
        <v>57</v>
      </c>
      <c r="C10" s="15"/>
      <c r="D10" s="17"/>
      <c r="E10" s="10"/>
      <c r="F10" s="10"/>
      <c r="G10" s="10"/>
    </row>
    <row r="11" spans="1:11" ht="21" customHeight="1">
      <c r="A11" s="14" t="s">
        <v>62</v>
      </c>
      <c r="B11" s="15" t="s">
        <v>59</v>
      </c>
      <c r="C11" s="22" t="s">
        <v>84</v>
      </c>
      <c r="D11" s="17"/>
      <c r="E11" s="10"/>
      <c r="F11" s="10"/>
      <c r="G11" s="10"/>
    </row>
    <row r="12" spans="1:11" ht="18.75" customHeight="1">
      <c r="A12" s="14" t="s">
        <v>62</v>
      </c>
      <c r="B12" s="15" t="s">
        <v>60</v>
      </c>
      <c r="C12" s="22" t="s">
        <v>132</v>
      </c>
      <c r="D12" s="17"/>
      <c r="E12" s="10"/>
      <c r="F12" s="10"/>
      <c r="G12" s="10"/>
    </row>
    <row r="13" spans="1:11" ht="49.5">
      <c r="A13" s="14" t="s">
        <v>62</v>
      </c>
      <c r="B13" s="15" t="s">
        <v>58</v>
      </c>
      <c r="C13" s="22" t="s">
        <v>133</v>
      </c>
      <c r="D13" s="17"/>
      <c r="E13" s="10"/>
      <c r="F13" s="10"/>
      <c r="G13" s="10"/>
    </row>
    <row r="14" spans="1:11" ht="33">
      <c r="A14" s="14" t="s">
        <v>62</v>
      </c>
      <c r="B14" s="15" t="s">
        <v>61</v>
      </c>
      <c r="C14" s="22" t="s">
        <v>85</v>
      </c>
      <c r="D14" s="17"/>
      <c r="E14" s="10"/>
      <c r="F14" s="10"/>
      <c r="G14" s="10"/>
    </row>
    <row r="15" spans="1:11">
      <c r="A15" s="14" t="s">
        <v>63</v>
      </c>
      <c r="B15" s="15" t="s">
        <v>66</v>
      </c>
      <c r="C15" s="16"/>
      <c r="D15" s="17"/>
      <c r="E15" s="10"/>
      <c r="F15" s="10"/>
      <c r="G15" s="10"/>
    </row>
    <row r="16" spans="1:11">
      <c r="A16" s="14" t="s">
        <v>63</v>
      </c>
      <c r="B16" s="15" t="s">
        <v>67</v>
      </c>
      <c r="C16" s="16"/>
      <c r="D16" s="17"/>
      <c r="E16" s="10"/>
      <c r="F16" s="10"/>
      <c r="G16" s="10"/>
    </row>
    <row r="17" spans="1:7">
      <c r="A17" s="14" t="s">
        <v>63</v>
      </c>
      <c r="B17" s="15" t="s">
        <v>68</v>
      </c>
      <c r="C17" s="16"/>
      <c r="D17" s="17"/>
      <c r="E17" s="10"/>
      <c r="F17" s="10"/>
      <c r="G17" s="10"/>
    </row>
    <row r="18" spans="1:7">
      <c r="A18" s="14" t="s">
        <v>63</v>
      </c>
      <c r="B18" s="15" t="s">
        <v>69</v>
      </c>
      <c r="C18" s="16"/>
      <c r="D18" s="17"/>
      <c r="E18" s="10"/>
      <c r="F18" s="10"/>
      <c r="G18" s="10"/>
    </row>
    <row r="19" spans="1:7">
      <c r="A19" s="14" t="s">
        <v>63</v>
      </c>
      <c r="B19" s="15" t="s">
        <v>70</v>
      </c>
      <c r="C19" s="16"/>
      <c r="D19" s="17"/>
      <c r="E19" s="10"/>
      <c r="F19" s="10"/>
      <c r="G19" s="10"/>
    </row>
    <row r="20" spans="1:7">
      <c r="A20" s="25"/>
      <c r="B20" s="26"/>
      <c r="C20" s="27"/>
      <c r="D20" s="28"/>
      <c r="E20" s="10"/>
      <c r="F20" s="10"/>
      <c r="G20" s="10"/>
    </row>
    <row r="22" spans="1:7">
      <c r="A22" s="29" t="s">
        <v>91</v>
      </c>
      <c r="B22" s="30" t="s">
        <v>111</v>
      </c>
      <c r="C22" s="31" t="s">
        <v>112</v>
      </c>
      <c r="D22" s="30" t="s">
        <v>113</v>
      </c>
    </row>
    <row r="23" spans="1:7">
      <c r="A23" s="29" t="s">
        <v>92</v>
      </c>
      <c r="B23" s="30" t="s">
        <v>93</v>
      </c>
      <c r="C23" s="31" t="s">
        <v>96</v>
      </c>
      <c r="D23" s="30" t="s">
        <v>97</v>
      </c>
      <c r="E23" s="30" t="s">
        <v>98</v>
      </c>
    </row>
    <row r="24" spans="1:7">
      <c r="B24" s="30" t="s">
        <v>94</v>
      </c>
    </row>
    <row r="25" spans="1:7">
      <c r="B25" s="30" t="s">
        <v>95</v>
      </c>
    </row>
    <row r="26" spans="1:7">
      <c r="B26" s="30" t="s">
        <v>99</v>
      </c>
    </row>
    <row r="29" spans="1:7">
      <c r="A29" s="29" t="s">
        <v>123</v>
      </c>
    </row>
    <row r="30" spans="1:7">
      <c r="A30" s="29" t="s">
        <v>124</v>
      </c>
    </row>
    <row r="31" spans="1:7">
      <c r="A31" s="29" t="s">
        <v>125</v>
      </c>
    </row>
    <row r="32" spans="1:7">
      <c r="A32" s="29" t="s">
        <v>126</v>
      </c>
    </row>
    <row r="33" spans="1:1">
      <c r="A33" s="29" t="s">
        <v>127</v>
      </c>
    </row>
    <row r="34" spans="1:1">
      <c r="A34" s="29" t="s">
        <v>128</v>
      </c>
    </row>
  </sheetData>
  <phoneticPr fontId="4" type="noConversion"/>
  <conditionalFormatting sqref="A1:D21 A22 A23:D29 A31:D1048576 A30">
    <cfRule type="expression" dxfId="71" priority="1">
      <formula>$A1="graduate"</formula>
    </cfRule>
    <cfRule type="expression" dxfId="70" priority="2">
      <formula>$A1="CS"</formula>
    </cfRule>
    <cfRule type="expression" dxfId="69" priority="3">
      <formula>$A1="python"</formula>
    </cfRule>
  </conditionalFormatting>
  <conditionalFormatting sqref="B22:D22">
    <cfRule type="expression" dxfId="68" priority="13">
      <formula>$A30="graduate"</formula>
    </cfRule>
    <cfRule type="expression" dxfId="67" priority="14">
      <formula>$A30="CS"</formula>
    </cfRule>
    <cfRule type="expression" dxfId="66" priority="15">
      <formula>$A30="python"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F16"/>
  <sheetViews>
    <sheetView workbookViewId="0">
      <selection activeCell="C10" sqref="C10"/>
    </sheetView>
  </sheetViews>
  <sheetFormatPr defaultRowHeight="13.5"/>
  <cols>
    <col min="3" max="3" width="9" style="42"/>
    <col min="5" max="5" width="16.5" customWidth="1"/>
    <col min="6" max="6" width="9.125" bestFit="1" customWidth="1"/>
    <col min="7" max="7" width="5.25" customWidth="1"/>
    <col min="10" max="10" width="6.5" customWidth="1"/>
    <col min="11" max="11" width="5.25" customWidth="1"/>
  </cols>
  <sheetData>
    <row r="1" spans="1:6">
      <c r="A1" s="39" t="s">
        <v>134</v>
      </c>
      <c r="B1" s="39" t="s">
        <v>135</v>
      </c>
      <c r="C1" s="42" t="s">
        <v>150</v>
      </c>
    </row>
    <row r="2" spans="1:6">
      <c r="A2" s="39"/>
      <c r="B2" s="39"/>
    </row>
    <row r="3" spans="1:6">
      <c r="A3" s="39"/>
      <c r="B3" s="39" t="s">
        <v>142</v>
      </c>
      <c r="C3" s="42">
        <v>1</v>
      </c>
    </row>
    <row r="4" spans="1:6">
      <c r="B4" t="s">
        <v>138</v>
      </c>
      <c r="C4" s="42">
        <v>1</v>
      </c>
    </row>
    <row r="5" spans="1:6">
      <c r="B5" t="s">
        <v>139</v>
      </c>
      <c r="C5" s="42">
        <v>1</v>
      </c>
    </row>
    <row r="6" spans="1:6">
      <c r="B6" t="s">
        <v>140</v>
      </c>
      <c r="C6" s="42">
        <v>1</v>
      </c>
    </row>
    <row r="7" spans="1:6">
      <c r="B7" t="s">
        <v>141</v>
      </c>
      <c r="C7" s="42">
        <v>1</v>
      </c>
    </row>
    <row r="8" spans="1:6">
      <c r="B8" t="s">
        <v>149</v>
      </c>
      <c r="C8" s="42">
        <v>1</v>
      </c>
    </row>
    <row r="9" spans="1:6">
      <c r="B9" s="39" t="s">
        <v>162</v>
      </c>
      <c r="C9" s="42">
        <v>1</v>
      </c>
    </row>
    <row r="13" spans="1:6">
      <c r="E13" s="42"/>
      <c r="F13" s="42"/>
    </row>
    <row r="14" spans="1:6">
      <c r="E14" s="38"/>
      <c r="F14" s="42"/>
    </row>
    <row r="15" spans="1:6">
      <c r="E15" s="38"/>
      <c r="F15" s="42"/>
    </row>
    <row r="16" spans="1:6">
      <c r="E16" s="38"/>
      <c r="F16" s="42"/>
    </row>
  </sheetData>
  <phoneticPr fontId="10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G33"/>
  <sheetViews>
    <sheetView topLeftCell="A6" workbookViewId="0">
      <selection activeCell="E7" sqref="E7"/>
    </sheetView>
  </sheetViews>
  <sheetFormatPr defaultColWidth="9" defaultRowHeight="16.5"/>
  <cols>
    <col min="1" max="1" width="21.375" style="2" customWidth="1"/>
    <col min="2" max="2" width="0" style="3" hidden="1" customWidth="1"/>
    <col min="3" max="3" width="43.25" style="3" customWidth="1"/>
    <col min="4" max="4" width="6" style="4" customWidth="1"/>
    <col min="5" max="5" width="9.5" style="5" customWidth="1"/>
    <col min="6" max="6" width="9" style="33"/>
    <col min="7" max="7" width="11.25" style="32" bestFit="1" customWidth="1"/>
    <col min="8" max="16384" width="9" style="3"/>
  </cols>
  <sheetData>
    <row r="1" spans="1:7">
      <c r="A1" s="6" t="s">
        <v>4</v>
      </c>
      <c r="B1" s="3" t="s">
        <v>43</v>
      </c>
      <c r="C1" s="7" t="s">
        <v>5</v>
      </c>
      <c r="D1" s="8" t="s">
        <v>6</v>
      </c>
      <c r="E1" s="5" t="s">
        <v>35</v>
      </c>
      <c r="F1" s="33" t="s">
        <v>100</v>
      </c>
      <c r="G1" s="32" t="s">
        <v>101</v>
      </c>
    </row>
    <row r="2" spans="1:7">
      <c r="A2" s="2" t="s">
        <v>115</v>
      </c>
      <c r="B2" s="3" t="s">
        <v>88</v>
      </c>
      <c r="C2" s="3" t="s">
        <v>87</v>
      </c>
      <c r="D2" s="4">
        <v>1</v>
      </c>
      <c r="E2" s="5">
        <f>SUMIF(学习记录!B:B,C2,学习记录!D:D)</f>
        <v>0.41666666666666674</v>
      </c>
    </row>
    <row r="3" spans="1:7">
      <c r="A3" s="2" t="s">
        <v>116</v>
      </c>
      <c r="C3" s="3" t="s">
        <v>118</v>
      </c>
      <c r="D3" s="4">
        <v>1</v>
      </c>
      <c r="E3" s="5">
        <f>SUMIF(学习记录!B:B,C3,学习记录!D:D)</f>
        <v>0.35416666666666663</v>
      </c>
    </row>
    <row r="4" spans="1:7">
      <c r="A4" s="2" t="s">
        <v>37</v>
      </c>
      <c r="C4" s="2" t="s">
        <v>153</v>
      </c>
      <c r="D4" s="4">
        <v>1</v>
      </c>
      <c r="E4" s="5">
        <f>SUMIF(学习记录!B:B,C4,学习记录!D:D)</f>
        <v>0.30208333333333337</v>
      </c>
    </row>
    <row r="5" spans="1:7">
      <c r="A5" s="2" t="s">
        <v>37</v>
      </c>
      <c r="B5" s="3" t="s">
        <v>49</v>
      </c>
      <c r="C5" s="2" t="s">
        <v>110</v>
      </c>
      <c r="D5" s="4">
        <v>1</v>
      </c>
      <c r="E5" s="5">
        <f>SUMIF(学习记录!B:B,C5,学习记录!D:D)</f>
        <v>0.25694444444444442</v>
      </c>
    </row>
    <row r="6" spans="1:7">
      <c r="A6" s="2" t="s">
        <v>102</v>
      </c>
      <c r="B6" s="3" t="s">
        <v>78</v>
      </c>
      <c r="C6" s="3" t="s">
        <v>12</v>
      </c>
      <c r="D6" s="4">
        <v>1</v>
      </c>
      <c r="E6" s="5">
        <f>SUMIF(学习记录!B:B,C6,学习记录!D:D)</f>
        <v>0.17708333333333331</v>
      </c>
      <c r="F6" s="33">
        <v>1</v>
      </c>
      <c r="G6" s="32">
        <f>E6/F6</f>
        <v>0.17708333333333331</v>
      </c>
    </row>
    <row r="7" spans="1:7">
      <c r="A7" s="2" t="s">
        <v>129</v>
      </c>
      <c r="C7" s="3" t="s">
        <v>131</v>
      </c>
      <c r="D7" s="8">
        <v>1</v>
      </c>
      <c r="E7" s="5">
        <f>SUMIF(学习记录!B:B,C7,学习记录!D:D)</f>
        <v>0.23958333333333334</v>
      </c>
      <c r="F7" s="33">
        <v>0.58333333333333337</v>
      </c>
      <c r="G7" s="32">
        <f>E7/F7</f>
        <v>0.4107142857142857</v>
      </c>
    </row>
    <row r="8" spans="1:7">
      <c r="A8" s="2" t="s">
        <v>102</v>
      </c>
      <c r="B8" s="3" t="s">
        <v>79</v>
      </c>
      <c r="C8" s="3" t="s">
        <v>34</v>
      </c>
      <c r="D8" s="4">
        <v>1</v>
      </c>
      <c r="E8" s="5">
        <f>SUMIF(学习记录!B:B,C8,学习记录!D:D)</f>
        <v>0.12847222222222224</v>
      </c>
      <c r="F8" s="33">
        <v>1.25</v>
      </c>
      <c r="G8" s="32">
        <f>E8/F8</f>
        <v>0.10277777777777779</v>
      </c>
    </row>
    <row r="9" spans="1:7">
      <c r="A9" s="2" t="s">
        <v>103</v>
      </c>
      <c r="C9" s="24" t="s">
        <v>108</v>
      </c>
      <c r="D9" s="4">
        <v>1</v>
      </c>
      <c r="E9" s="5">
        <f>SUMIF(学习记录!B:B,C9,学习记录!D:D)</f>
        <v>0.10416666666666666</v>
      </c>
    </row>
    <row r="10" spans="1:7">
      <c r="A10" s="2" t="s">
        <v>103</v>
      </c>
      <c r="B10" s="3" t="s">
        <v>71</v>
      </c>
      <c r="C10" s="3" t="s">
        <v>105</v>
      </c>
      <c r="D10" s="4">
        <v>1</v>
      </c>
      <c r="E10" s="5">
        <f>SUMIF(学习记录!B:B,C10,学习记录!D:D)</f>
        <v>4.4444444444444509E-2</v>
      </c>
    </row>
    <row r="11" spans="1:7">
      <c r="A11" s="2" t="s">
        <v>156</v>
      </c>
      <c r="C11" s="2" t="s">
        <v>158</v>
      </c>
      <c r="D11" s="4">
        <v>1</v>
      </c>
      <c r="E11" s="5">
        <f>SUMIF(学习记录!B:B,C11,学习记录!D:D)</f>
        <v>0.2673611111111111</v>
      </c>
    </row>
    <row r="12" spans="1:7">
      <c r="A12" s="6" t="s">
        <v>9</v>
      </c>
      <c r="B12" s="3" t="s">
        <v>45</v>
      </c>
      <c r="C12" s="6" t="s">
        <v>10</v>
      </c>
      <c r="D12" s="4">
        <v>2</v>
      </c>
      <c r="E12" s="5">
        <f>SUMIF(学习记录!B:B,C12,学习记录!D:D)</f>
        <v>0.100694444444444</v>
      </c>
    </row>
    <row r="13" spans="1:7">
      <c r="A13" s="2" t="s">
        <v>37</v>
      </c>
      <c r="B13" s="3" t="s">
        <v>47</v>
      </c>
      <c r="C13" s="3" t="s">
        <v>38</v>
      </c>
      <c r="D13" s="4">
        <v>2</v>
      </c>
      <c r="E13" s="5">
        <f>SUMIF(学习记录!B:B,C13,学习记录!D:D)</f>
        <v>3.6805555555555536E-2</v>
      </c>
    </row>
    <row r="14" spans="1:7">
      <c r="A14" s="2" t="s">
        <v>9</v>
      </c>
      <c r="B14" s="3" t="s">
        <v>46</v>
      </c>
      <c r="C14" s="2" t="s">
        <v>24</v>
      </c>
      <c r="D14" s="4">
        <v>2</v>
      </c>
      <c r="E14" s="5">
        <f>SUMIF(学习记录!B:B,C14,学习记录!D:D)</f>
        <v>2.0833333333333332E-2</v>
      </c>
    </row>
    <row r="15" spans="1:7">
      <c r="A15" s="2" t="s">
        <v>144</v>
      </c>
      <c r="C15" s="3" t="s">
        <v>143</v>
      </c>
      <c r="D15" s="8">
        <v>2</v>
      </c>
      <c r="E15" s="5">
        <f>SUMIF(学习记录!B:B,C15,学习记录!D:D)</f>
        <v>0</v>
      </c>
    </row>
    <row r="16" spans="1:7">
      <c r="A16" s="2" t="s">
        <v>103</v>
      </c>
      <c r="C16" s="24" t="s">
        <v>107</v>
      </c>
      <c r="D16" s="4">
        <v>2</v>
      </c>
      <c r="E16" s="5">
        <f>SUMIF(学习记录!B:B,C16,学习记录!D:D)</f>
        <v>0</v>
      </c>
    </row>
    <row r="17" spans="1:5">
      <c r="A17" s="2" t="s">
        <v>103</v>
      </c>
      <c r="C17" s="3" t="s">
        <v>106</v>
      </c>
      <c r="D17" s="4">
        <v>2</v>
      </c>
      <c r="E17" s="5">
        <f>SUMIF(学习记录!B:B,C17,学习记录!D:D)</f>
        <v>0</v>
      </c>
    </row>
    <row r="18" spans="1:5">
      <c r="A18" s="2" t="s">
        <v>89</v>
      </c>
      <c r="C18" s="24" t="s">
        <v>90</v>
      </c>
      <c r="D18" s="4">
        <v>2</v>
      </c>
      <c r="E18" s="5">
        <f>SUMIF(学习记录!B:B,C18,学习记录!D:D)</f>
        <v>0</v>
      </c>
    </row>
    <row r="19" spans="1:5">
      <c r="A19" s="2" t="s">
        <v>37</v>
      </c>
      <c r="B19" s="3" t="s">
        <v>48</v>
      </c>
      <c r="C19" s="2" t="s">
        <v>13</v>
      </c>
      <c r="D19" s="4">
        <v>2</v>
      </c>
      <c r="E19" s="5">
        <f>SUMIF(学习记录!B:B,C19,学习记录!D:D)</f>
        <v>0</v>
      </c>
    </row>
    <row r="20" spans="1:5">
      <c r="A20" s="2" t="s">
        <v>37</v>
      </c>
      <c r="B20" s="3" t="s">
        <v>50</v>
      </c>
      <c r="C20" s="2" t="s">
        <v>15</v>
      </c>
      <c r="D20" s="4">
        <v>2</v>
      </c>
      <c r="E20" s="5">
        <f>SUMIF(学习记录!B:B,C20,学习记录!D:D)</f>
        <v>0</v>
      </c>
    </row>
    <row r="21" spans="1:5">
      <c r="A21" s="2" t="s">
        <v>37</v>
      </c>
      <c r="B21" s="3" t="s">
        <v>51</v>
      </c>
      <c r="C21" s="2" t="s">
        <v>23</v>
      </c>
      <c r="D21" s="4">
        <v>2</v>
      </c>
      <c r="E21" s="5">
        <f>SUMIF(学习记录!B:B,C21,学习记录!D:D)</f>
        <v>0</v>
      </c>
    </row>
    <row r="22" spans="1:5">
      <c r="A22" s="2" t="s">
        <v>11</v>
      </c>
      <c r="B22" s="3" t="s">
        <v>72</v>
      </c>
      <c r="C22" s="3" t="s">
        <v>26</v>
      </c>
      <c r="D22" s="4">
        <v>2</v>
      </c>
      <c r="E22" s="5">
        <f>SUMIF(学习记录!B:B,C22,学习记录!D:D)</f>
        <v>0</v>
      </c>
    </row>
    <row r="23" spans="1:5">
      <c r="A23" s="2" t="s">
        <v>16</v>
      </c>
      <c r="B23" s="3" t="s">
        <v>74</v>
      </c>
      <c r="C23" s="2" t="s">
        <v>16</v>
      </c>
      <c r="D23" s="4">
        <v>2</v>
      </c>
      <c r="E23" s="5">
        <f>SUMIF(学习记录!B:B,C23,学习记录!D:D)</f>
        <v>0</v>
      </c>
    </row>
    <row r="24" spans="1:5">
      <c r="A24" s="2" t="s">
        <v>16</v>
      </c>
      <c r="B24" s="3" t="s">
        <v>75</v>
      </c>
      <c r="C24" s="3" t="s">
        <v>27</v>
      </c>
      <c r="D24" s="4">
        <v>2</v>
      </c>
      <c r="E24" s="5">
        <f>SUMIF(学习记录!B:B,C24,学习记录!D:D)</f>
        <v>0</v>
      </c>
    </row>
    <row r="25" spans="1:5">
      <c r="A25" s="2" t="s">
        <v>16</v>
      </c>
      <c r="B25" s="3" t="s">
        <v>76</v>
      </c>
      <c r="C25" s="3" t="s">
        <v>28</v>
      </c>
      <c r="D25" s="4">
        <v>2</v>
      </c>
      <c r="E25" s="5">
        <f>SUMIF(学习记录!B:B,C25,学习记录!D:D)</f>
        <v>0</v>
      </c>
    </row>
    <row r="26" spans="1:5">
      <c r="A26" s="2" t="s">
        <v>17</v>
      </c>
      <c r="B26" s="3" t="s">
        <v>80</v>
      </c>
      <c r="C26" s="3" t="s">
        <v>18</v>
      </c>
      <c r="D26" s="4">
        <v>2</v>
      </c>
      <c r="E26" s="5">
        <f>SUMIF(学习记录!B:B,C26,学习记录!D:D)</f>
        <v>0</v>
      </c>
    </row>
    <row r="27" spans="1:5">
      <c r="A27" s="2" t="s">
        <v>17</v>
      </c>
      <c r="B27" s="3" t="s">
        <v>81</v>
      </c>
      <c r="C27" s="3" t="s">
        <v>19</v>
      </c>
      <c r="D27" s="4">
        <v>2</v>
      </c>
      <c r="E27" s="5">
        <f>SUMIF(学习记录!B:B,C27,学习记录!D:D)</f>
        <v>0</v>
      </c>
    </row>
    <row r="28" spans="1:5">
      <c r="A28" s="2" t="s">
        <v>9</v>
      </c>
      <c r="B28" s="3" t="s">
        <v>52</v>
      </c>
      <c r="C28" s="2" t="s">
        <v>20</v>
      </c>
      <c r="D28" s="4">
        <v>3</v>
      </c>
      <c r="E28" s="5">
        <f>SUMIF(学习记录!B:B,C28,学习记录!D:D)</f>
        <v>0</v>
      </c>
    </row>
    <row r="29" spans="1:5">
      <c r="A29" s="2" t="s">
        <v>9</v>
      </c>
      <c r="B29" s="3" t="s">
        <v>53</v>
      </c>
      <c r="C29" s="2" t="s">
        <v>25</v>
      </c>
      <c r="D29" s="4">
        <v>3</v>
      </c>
      <c r="E29" s="5">
        <f>SUMIF(学习记录!B:B,C29,学习记录!D:D)</f>
        <v>0</v>
      </c>
    </row>
    <row r="30" spans="1:5">
      <c r="A30" s="2" t="s">
        <v>16</v>
      </c>
      <c r="B30" s="3" t="s">
        <v>77</v>
      </c>
      <c r="C30" s="3" t="s">
        <v>29</v>
      </c>
      <c r="D30" s="4">
        <v>3</v>
      </c>
      <c r="E30" s="5">
        <f>SUMIF(学习记录!B:B,C30,学习记录!D:D)</f>
        <v>0</v>
      </c>
    </row>
    <row r="31" spans="1:5">
      <c r="A31" s="2" t="s">
        <v>17</v>
      </c>
      <c r="B31" s="3" t="s">
        <v>82</v>
      </c>
      <c r="C31" s="3" t="s">
        <v>30</v>
      </c>
      <c r="D31" s="4">
        <v>3</v>
      </c>
      <c r="E31" s="5">
        <f>SUMIF(学习记录!B:B,C31,学习记录!D:D)</f>
        <v>0</v>
      </c>
    </row>
    <row r="32" spans="1:5">
      <c r="A32" s="6" t="s">
        <v>21</v>
      </c>
      <c r="B32" s="3" t="s">
        <v>73</v>
      </c>
      <c r="C32" s="7" t="s">
        <v>22</v>
      </c>
      <c r="D32" s="4">
        <v>5</v>
      </c>
      <c r="E32" s="5">
        <f>SUMIF(学习记录!B:B,C32,学习记录!D:D)</f>
        <v>1.4583333333332948E-2</v>
      </c>
    </row>
    <row r="33" spans="1:7">
      <c r="A33" s="2" t="s">
        <v>7</v>
      </c>
      <c r="B33" s="3" t="s">
        <v>44</v>
      </c>
      <c r="C33" s="3" t="s">
        <v>121</v>
      </c>
      <c r="D33" s="4">
        <v>100</v>
      </c>
      <c r="E33" s="5">
        <f>SUMIF(学习记录!B:B,C33,学习记录!D:D)</f>
        <v>0.4965277777777779</v>
      </c>
      <c r="F33" s="33">
        <v>0.49652777777777773</v>
      </c>
      <c r="G33" s="32">
        <f>E33/F33</f>
        <v>1.0000000000000004</v>
      </c>
    </row>
  </sheetData>
  <autoFilter ref="A1:E33"/>
  <sortState ref="A2:G33">
    <sortCondition ref="D2:D33"/>
    <sortCondition descending="1" ref="E2:E33"/>
  </sortState>
  <phoneticPr fontId="4" type="noConversion"/>
  <conditionalFormatting sqref="A1:F1048576">
    <cfRule type="expression" dxfId="65" priority="6">
      <formula>$D1=1</formula>
    </cfRule>
  </conditionalFormatting>
  <conditionalFormatting sqref="A1:G1048576">
    <cfRule type="expression" dxfId="64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18" r:id="rId1" location="/learn/content"/>
    <hyperlink ref="C16" r:id="rId2"/>
    <hyperlink ref="C9" r:id="rId3" location="/learn/announce"/>
  </hyperlinks>
  <pageMargins left="0.69930555555555596" right="0.69930555555555596" top="0.75" bottom="0.75" header="0.3" footer="0.3"/>
  <pageSetup paperSize="9" orientation="portrait" r:id="rId4"/>
  <legacy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AC168"/>
  <sheetViews>
    <sheetView tabSelected="1" topLeftCell="A67" workbookViewId="0">
      <selection activeCell="G92" sqref="G92"/>
    </sheetView>
  </sheetViews>
  <sheetFormatPr defaultColWidth="9" defaultRowHeight="13.5"/>
  <cols>
    <col min="1" max="1" width="6.5" style="55" bestFit="1" customWidth="1"/>
    <col min="2" max="2" width="24.75" customWidth="1"/>
    <col min="3" max="3" width="11.875" style="35" customWidth="1"/>
    <col min="4" max="4" width="11.875" style="34" customWidth="1"/>
    <col min="5" max="5" width="10.875" style="42" customWidth="1"/>
    <col min="6" max="6" width="10.25" style="1" bestFit="1" customWidth="1"/>
    <col min="7" max="7" width="10.25" style="1" customWidth="1"/>
    <col min="8" max="8" width="19.875" style="49" customWidth="1"/>
    <col min="9" max="9" width="13.25" style="34" bestFit="1" customWidth="1"/>
    <col min="10" max="10" width="14.125" style="35" customWidth="1"/>
    <col min="11" max="11" width="13.25" bestFit="1" customWidth="1"/>
    <col min="12" max="12" width="6.25" bestFit="1" customWidth="1"/>
    <col min="13" max="13" width="9.625" bestFit="1" customWidth="1"/>
    <col min="14" max="14" width="32.25" bestFit="1" customWidth="1"/>
    <col min="15" max="15" width="22" bestFit="1" customWidth="1"/>
    <col min="16" max="16" width="31.5" bestFit="1" customWidth="1"/>
    <col min="17" max="17" width="19.75" bestFit="1" customWidth="1"/>
    <col min="18" max="18" width="17.625" bestFit="1" customWidth="1"/>
    <col min="19" max="19" width="60.25" bestFit="1" customWidth="1"/>
    <col min="20" max="20" width="30.875" bestFit="1" customWidth="1"/>
    <col min="21" max="21" width="13.75" bestFit="1" customWidth="1"/>
    <col min="22" max="22" width="27" bestFit="1" customWidth="1"/>
    <col min="23" max="23" width="8" customWidth="1"/>
    <col min="24" max="24" width="10.75" customWidth="1"/>
  </cols>
  <sheetData>
    <row r="1" spans="1:7">
      <c r="A1" s="55" t="s">
        <v>31</v>
      </c>
      <c r="B1" t="s">
        <v>32</v>
      </c>
      <c r="C1" s="35" t="s">
        <v>0</v>
      </c>
      <c r="D1" s="36" t="s">
        <v>3</v>
      </c>
      <c r="E1" s="47" t="s">
        <v>154</v>
      </c>
      <c r="F1" s="1" t="s">
        <v>1</v>
      </c>
      <c r="G1" s="1" t="s">
        <v>2</v>
      </c>
    </row>
    <row r="2" spans="1:7">
      <c r="A2" s="55">
        <v>42300</v>
      </c>
      <c r="B2" t="s">
        <v>8</v>
      </c>
      <c r="C2" s="59">
        <f t="shared" ref="C2:C50" ca="1" si="0">TODAY()-A2</f>
        <v>32</v>
      </c>
      <c r="D2" s="34">
        <v>4.1666666666666699E-2</v>
      </c>
    </row>
    <row r="3" spans="1:7">
      <c r="A3" s="55">
        <v>42300</v>
      </c>
      <c r="B3" t="s">
        <v>12</v>
      </c>
      <c r="C3" s="59">
        <f t="shared" ca="1" si="0"/>
        <v>32</v>
      </c>
      <c r="D3" s="34">
        <v>6.25E-2</v>
      </c>
    </row>
    <row r="4" spans="1:7">
      <c r="A4" s="55">
        <v>42301</v>
      </c>
      <c r="B4" t="s">
        <v>33</v>
      </c>
      <c r="C4" s="59">
        <f t="shared" ca="1" si="0"/>
        <v>31</v>
      </c>
      <c r="D4" s="34">
        <f>G4-F4</f>
        <v>0.100694444444444</v>
      </c>
      <c r="F4" s="1">
        <v>0</v>
      </c>
      <c r="G4" s="1">
        <v>0.100694444444444</v>
      </c>
    </row>
    <row r="5" spans="1:7">
      <c r="A5" s="55">
        <v>42302</v>
      </c>
      <c r="B5" t="s">
        <v>22</v>
      </c>
      <c r="C5" s="59">
        <f t="shared" ca="1" si="0"/>
        <v>30</v>
      </c>
      <c r="D5" s="34">
        <f>G5-F5</f>
        <v>1.4583333333332948E-2</v>
      </c>
      <c r="F5" s="1">
        <v>0.53125</v>
      </c>
      <c r="G5" s="1">
        <v>0.54583333333333295</v>
      </c>
    </row>
    <row r="6" spans="1:7">
      <c r="A6" s="55">
        <v>42303</v>
      </c>
      <c r="B6" t="s">
        <v>8</v>
      </c>
      <c r="C6" s="59">
        <f t="shared" ca="1" si="0"/>
        <v>29</v>
      </c>
      <c r="D6" s="34">
        <v>4.1666666666666699E-2</v>
      </c>
    </row>
    <row r="7" spans="1:7">
      <c r="A7" s="55">
        <v>42303</v>
      </c>
      <c r="B7" t="s">
        <v>12</v>
      </c>
      <c r="C7" s="59">
        <f t="shared" ca="1" si="0"/>
        <v>29</v>
      </c>
      <c r="D7" s="34">
        <v>4.1666666666666664E-2</v>
      </c>
    </row>
    <row r="8" spans="1:7">
      <c r="A8" s="55">
        <v>42304</v>
      </c>
      <c r="B8" t="s">
        <v>8</v>
      </c>
      <c r="C8" s="59">
        <f t="shared" ca="1" si="0"/>
        <v>28</v>
      </c>
      <c r="D8" s="34">
        <v>6.25E-2</v>
      </c>
    </row>
    <row r="9" spans="1:7">
      <c r="A9" s="55">
        <v>42304</v>
      </c>
      <c r="B9" t="s">
        <v>24</v>
      </c>
      <c r="C9" s="59">
        <f t="shared" ca="1" si="0"/>
        <v>28</v>
      </c>
      <c r="D9" s="34">
        <v>2.0833333333333332E-2</v>
      </c>
    </row>
    <row r="10" spans="1:7">
      <c r="A10" s="55">
        <v>42305</v>
      </c>
      <c r="B10" t="s">
        <v>8</v>
      </c>
      <c r="C10" s="59">
        <f t="shared" ca="1" si="0"/>
        <v>27</v>
      </c>
      <c r="D10" s="34">
        <v>3.125E-2</v>
      </c>
    </row>
    <row r="11" spans="1:7">
      <c r="A11" s="55">
        <v>42305</v>
      </c>
      <c r="B11" t="s">
        <v>36</v>
      </c>
      <c r="C11" s="59">
        <f t="shared" ca="1" si="0"/>
        <v>27</v>
      </c>
      <c r="D11" s="34">
        <v>4.5138888888888888E-2</v>
      </c>
    </row>
    <row r="12" spans="1:7">
      <c r="A12" s="55">
        <v>42306</v>
      </c>
      <c r="B12" t="s">
        <v>8</v>
      </c>
      <c r="C12" s="59">
        <f t="shared" ca="1" si="0"/>
        <v>26</v>
      </c>
      <c r="D12" s="34">
        <v>4.1666666666666664E-2</v>
      </c>
    </row>
    <row r="13" spans="1:7">
      <c r="A13" s="55">
        <v>42307</v>
      </c>
      <c r="B13" t="s">
        <v>8</v>
      </c>
      <c r="C13" s="59">
        <f t="shared" ca="1" si="0"/>
        <v>25</v>
      </c>
      <c r="D13" s="34">
        <v>4.1666666666666664E-2</v>
      </c>
    </row>
    <row r="14" spans="1:7">
      <c r="A14" s="55">
        <v>42308</v>
      </c>
      <c r="B14" t="s">
        <v>83</v>
      </c>
      <c r="C14" s="59">
        <f t="shared" ca="1" si="0"/>
        <v>24</v>
      </c>
      <c r="D14" s="34">
        <f>G14-F14</f>
        <v>3.6805555555555536E-2</v>
      </c>
      <c r="F14" s="1">
        <v>0.60902777777777783</v>
      </c>
      <c r="G14" s="1">
        <v>0.64583333333333337</v>
      </c>
    </row>
    <row r="15" spans="1:7">
      <c r="A15" s="55">
        <v>42310</v>
      </c>
      <c r="B15" t="s">
        <v>86</v>
      </c>
      <c r="C15" s="59">
        <f t="shared" ca="1" si="0"/>
        <v>22</v>
      </c>
      <c r="D15" s="34">
        <v>3.125E-2</v>
      </c>
    </row>
    <row r="16" spans="1:7">
      <c r="A16" s="55">
        <v>42311</v>
      </c>
      <c r="B16" t="s">
        <v>8</v>
      </c>
      <c r="C16" s="59">
        <f t="shared" ca="1" si="0"/>
        <v>21</v>
      </c>
      <c r="D16" s="34">
        <v>4.1666666666666664E-2</v>
      </c>
    </row>
    <row r="17" spans="1:7">
      <c r="A17" s="55">
        <v>42311</v>
      </c>
      <c r="B17" t="s">
        <v>86</v>
      </c>
      <c r="C17" s="59">
        <f t="shared" ca="1" si="0"/>
        <v>21</v>
      </c>
      <c r="D17" s="34">
        <v>2.0833333333333332E-2</v>
      </c>
    </row>
    <row r="18" spans="1:7">
      <c r="A18" s="55">
        <v>42312</v>
      </c>
      <c r="B18" t="s">
        <v>8</v>
      </c>
      <c r="C18" s="59">
        <f t="shared" ca="1" si="0"/>
        <v>20</v>
      </c>
      <c r="D18" s="34">
        <v>4.1666666666666664E-2</v>
      </c>
    </row>
    <row r="19" spans="1:7">
      <c r="A19" s="55">
        <v>42312</v>
      </c>
      <c r="B19" t="s">
        <v>86</v>
      </c>
      <c r="C19" s="59">
        <f t="shared" ca="1" si="0"/>
        <v>20</v>
      </c>
      <c r="D19" s="34">
        <v>2.0833333333333332E-2</v>
      </c>
    </row>
    <row r="20" spans="1:7">
      <c r="A20" s="55">
        <v>42312</v>
      </c>
      <c r="B20" t="s">
        <v>12</v>
      </c>
      <c r="C20" s="59">
        <f t="shared" ca="1" si="0"/>
        <v>20</v>
      </c>
      <c r="D20" s="34">
        <v>4.1666666666666664E-2</v>
      </c>
    </row>
    <row r="21" spans="1:7">
      <c r="A21" s="55">
        <v>42312</v>
      </c>
      <c r="B21" t="s">
        <v>36</v>
      </c>
      <c r="C21" s="59">
        <f t="shared" ca="1" si="0"/>
        <v>20</v>
      </c>
      <c r="D21" s="34">
        <v>6.25E-2</v>
      </c>
    </row>
    <row r="22" spans="1:7">
      <c r="A22" s="55">
        <v>42312</v>
      </c>
      <c r="B22" t="s">
        <v>104</v>
      </c>
      <c r="C22" s="59">
        <f t="shared" ca="1" si="0"/>
        <v>20</v>
      </c>
      <c r="D22" s="34">
        <f>G22-F22</f>
        <v>4.4444444444444509E-2</v>
      </c>
      <c r="F22" s="1">
        <v>0.82013888888888886</v>
      </c>
      <c r="G22" s="1">
        <v>0.86458333333333337</v>
      </c>
    </row>
    <row r="23" spans="1:7">
      <c r="A23" s="55">
        <v>42313</v>
      </c>
      <c r="B23" t="s">
        <v>8</v>
      </c>
      <c r="C23" s="59">
        <f t="shared" ca="1" si="0"/>
        <v>19</v>
      </c>
      <c r="D23" s="34">
        <v>4.8611111111111112E-2</v>
      </c>
    </row>
    <row r="24" spans="1:7">
      <c r="A24" s="55">
        <v>42313</v>
      </c>
      <c r="B24" t="s">
        <v>109</v>
      </c>
      <c r="C24" s="59">
        <f t="shared" ca="1" si="0"/>
        <v>19</v>
      </c>
      <c r="D24" s="34">
        <v>2.0833333333333332E-2</v>
      </c>
    </row>
    <row r="25" spans="1:7">
      <c r="A25" s="55">
        <v>42313</v>
      </c>
      <c r="B25" t="s">
        <v>14</v>
      </c>
      <c r="C25" s="59">
        <f t="shared" ca="1" si="0"/>
        <v>19</v>
      </c>
      <c r="D25" s="34">
        <v>4.1666666666666664E-2</v>
      </c>
    </row>
    <row r="26" spans="1:7">
      <c r="A26" s="55">
        <v>42314</v>
      </c>
      <c r="B26" t="s">
        <v>8</v>
      </c>
      <c r="C26" s="59">
        <f t="shared" ca="1" si="0"/>
        <v>18</v>
      </c>
      <c r="D26" s="34">
        <v>4.1666666666666664E-2</v>
      </c>
    </row>
    <row r="27" spans="1:7">
      <c r="A27" s="55">
        <v>42314</v>
      </c>
      <c r="B27" t="s">
        <v>86</v>
      </c>
      <c r="C27" s="59">
        <f t="shared" ca="1" si="0"/>
        <v>18</v>
      </c>
      <c r="D27" s="34">
        <v>3.125E-2</v>
      </c>
    </row>
    <row r="28" spans="1:7">
      <c r="A28" s="55">
        <v>42314</v>
      </c>
      <c r="B28" t="s">
        <v>14</v>
      </c>
      <c r="C28" s="59">
        <f t="shared" ca="1" si="0"/>
        <v>18</v>
      </c>
      <c r="D28" s="34">
        <v>4.1666666666666664E-2</v>
      </c>
    </row>
    <row r="29" spans="1:7">
      <c r="A29" s="55">
        <v>42315</v>
      </c>
      <c r="B29" t="s">
        <v>109</v>
      </c>
      <c r="C29" s="59">
        <f t="shared" ca="1" si="0"/>
        <v>17</v>
      </c>
      <c r="D29" s="34">
        <v>2.0833333333333332E-2</v>
      </c>
    </row>
    <row r="30" spans="1:7">
      <c r="A30" s="55">
        <v>42315</v>
      </c>
      <c r="B30" t="s">
        <v>14</v>
      </c>
      <c r="C30" s="59">
        <f t="shared" ca="1" si="0"/>
        <v>17</v>
      </c>
      <c r="D30" s="34">
        <v>0.10416666666666667</v>
      </c>
      <c r="E30" s="43"/>
    </row>
    <row r="31" spans="1:7">
      <c r="A31" s="55">
        <v>42316</v>
      </c>
      <c r="B31" t="s">
        <v>12</v>
      </c>
      <c r="C31" s="59">
        <f t="shared" ca="1" si="0"/>
        <v>16</v>
      </c>
      <c r="D31" s="34">
        <v>3.125E-2</v>
      </c>
    </row>
    <row r="32" spans="1:7">
      <c r="A32" s="55">
        <v>42316</v>
      </c>
      <c r="B32" t="s">
        <v>36</v>
      </c>
      <c r="C32" s="59">
        <f t="shared" ca="1" si="0"/>
        <v>16</v>
      </c>
      <c r="D32" s="34">
        <v>2.0833333333333332E-2</v>
      </c>
    </row>
    <row r="33" spans="1:5">
      <c r="A33" s="55">
        <v>42316</v>
      </c>
      <c r="B33" t="s">
        <v>109</v>
      </c>
      <c r="C33" s="59">
        <f t="shared" ca="1" si="0"/>
        <v>16</v>
      </c>
      <c r="D33" s="34">
        <v>3.125E-2</v>
      </c>
      <c r="E33" s="43" t="s">
        <v>114</v>
      </c>
    </row>
    <row r="34" spans="1:5">
      <c r="A34" s="55">
        <v>42317</v>
      </c>
      <c r="B34" t="s">
        <v>14</v>
      </c>
      <c r="C34" s="59">
        <f t="shared" ca="1" si="0"/>
        <v>15</v>
      </c>
      <c r="D34" s="37">
        <v>4.1666666666666664E-2</v>
      </c>
    </row>
    <row r="35" spans="1:5">
      <c r="A35" s="55">
        <v>42317</v>
      </c>
      <c r="B35" t="s">
        <v>8</v>
      </c>
      <c r="C35" s="59">
        <f t="shared" ca="1" si="0"/>
        <v>15</v>
      </c>
      <c r="D35" s="34">
        <v>4.1666666666666664E-2</v>
      </c>
    </row>
    <row r="36" spans="1:5">
      <c r="A36" s="55">
        <v>42317</v>
      </c>
      <c r="B36" t="s">
        <v>86</v>
      </c>
      <c r="C36" s="59">
        <f t="shared" ca="1" si="0"/>
        <v>15</v>
      </c>
      <c r="D36" s="34">
        <v>2.0833333333333332E-2</v>
      </c>
    </row>
    <row r="37" spans="1:5">
      <c r="A37" s="55">
        <v>42317</v>
      </c>
      <c r="B37" t="s">
        <v>117</v>
      </c>
      <c r="C37" s="59">
        <f t="shared" ca="1" si="0"/>
        <v>15</v>
      </c>
      <c r="D37" s="34">
        <v>5.2083333333333336E-2</v>
      </c>
    </row>
    <row r="38" spans="1:5" ht="15.75" customHeight="1">
      <c r="A38" s="55">
        <v>42318</v>
      </c>
      <c r="B38" t="s">
        <v>8</v>
      </c>
      <c r="C38" s="59">
        <f t="shared" ca="1" si="0"/>
        <v>14</v>
      </c>
      <c r="D38" s="34">
        <v>2.0833333333333332E-2</v>
      </c>
      <c r="E38" s="46" t="s">
        <v>122</v>
      </c>
    </row>
    <row r="39" spans="1:5">
      <c r="A39" s="55">
        <v>42318</v>
      </c>
      <c r="B39" t="s">
        <v>86</v>
      </c>
      <c r="C39" s="59">
        <f t="shared" ca="1" si="0"/>
        <v>14</v>
      </c>
      <c r="D39" s="34">
        <v>2.0833333333333332E-2</v>
      </c>
    </row>
    <row r="40" spans="1:5">
      <c r="A40" s="55">
        <v>42319</v>
      </c>
      <c r="B40" t="s">
        <v>130</v>
      </c>
      <c r="C40" s="59">
        <f t="shared" ca="1" si="0"/>
        <v>13</v>
      </c>
      <c r="D40" s="34">
        <v>4.1666666666666664E-2</v>
      </c>
    </row>
    <row r="41" spans="1:5">
      <c r="A41" s="55">
        <v>42319</v>
      </c>
      <c r="B41" t="s">
        <v>117</v>
      </c>
      <c r="C41" s="59">
        <f t="shared" ca="1" si="0"/>
        <v>13</v>
      </c>
      <c r="D41" s="34">
        <v>3.125E-2</v>
      </c>
    </row>
    <row r="42" spans="1:5">
      <c r="A42" s="55">
        <v>42320</v>
      </c>
      <c r="B42" t="s">
        <v>117</v>
      </c>
      <c r="C42" s="59">
        <f t="shared" ca="1" si="0"/>
        <v>12</v>
      </c>
      <c r="D42" s="34">
        <v>4.1666666666666664E-2</v>
      </c>
    </row>
    <row r="43" spans="1:5">
      <c r="A43" s="55">
        <v>42320</v>
      </c>
      <c r="B43" t="s">
        <v>86</v>
      </c>
      <c r="C43" s="59">
        <f t="shared" ca="1" si="0"/>
        <v>12</v>
      </c>
      <c r="D43" s="34">
        <v>2.7777777777777776E-2</v>
      </c>
    </row>
    <row r="44" spans="1:5">
      <c r="A44" s="55">
        <v>42321</v>
      </c>
      <c r="B44" t="s">
        <v>117</v>
      </c>
      <c r="C44" s="59">
        <f t="shared" ca="1" si="0"/>
        <v>11</v>
      </c>
      <c r="D44" s="34">
        <v>4.8611111111111112E-2</v>
      </c>
    </row>
    <row r="45" spans="1:5">
      <c r="A45" s="55">
        <v>42321</v>
      </c>
      <c r="B45" t="s">
        <v>86</v>
      </c>
      <c r="C45" s="59">
        <f t="shared" ca="1" si="0"/>
        <v>11</v>
      </c>
      <c r="D45" s="34">
        <v>2.0833333333333332E-2</v>
      </c>
    </row>
    <row r="46" spans="1:5">
      <c r="A46" s="55">
        <v>42323</v>
      </c>
      <c r="B46" t="s">
        <v>152</v>
      </c>
      <c r="C46" s="59">
        <f t="shared" ca="1" si="0"/>
        <v>9</v>
      </c>
      <c r="D46" s="34">
        <v>8.3333333333333329E-2</v>
      </c>
    </row>
    <row r="47" spans="1:5">
      <c r="A47" s="55">
        <v>42324</v>
      </c>
      <c r="B47" t="s">
        <v>86</v>
      </c>
      <c r="C47" s="59">
        <f t="shared" ca="1" si="0"/>
        <v>8</v>
      </c>
      <c r="D47" s="34">
        <v>2.0833333333333332E-2</v>
      </c>
    </row>
    <row r="48" spans="1:5">
      <c r="A48" s="55">
        <v>42324</v>
      </c>
      <c r="B48" t="s">
        <v>130</v>
      </c>
      <c r="C48" s="59">
        <f t="shared" ca="1" si="0"/>
        <v>8</v>
      </c>
      <c r="D48" s="34">
        <v>4.1666666666666664E-2</v>
      </c>
    </row>
    <row r="49" spans="1:4">
      <c r="A49" s="55">
        <v>42324</v>
      </c>
      <c r="B49" t="s">
        <v>117</v>
      </c>
      <c r="C49" s="59">
        <f t="shared" ca="1" si="0"/>
        <v>8</v>
      </c>
      <c r="D49" s="34">
        <v>2.0833333333333332E-2</v>
      </c>
    </row>
    <row r="50" spans="1:4">
      <c r="A50" s="55">
        <v>42324</v>
      </c>
      <c r="B50" t="s">
        <v>152</v>
      </c>
      <c r="C50" s="59">
        <f t="shared" ca="1" si="0"/>
        <v>8</v>
      </c>
      <c r="D50" s="34">
        <v>4.1666666666666664E-2</v>
      </c>
    </row>
    <row r="51" spans="1:4">
      <c r="A51" s="55">
        <v>42324</v>
      </c>
      <c r="B51" t="s">
        <v>152</v>
      </c>
      <c r="C51" s="59">
        <f t="shared" ref="C51:C70" ca="1" si="1">TODAY()-A51</f>
        <v>8</v>
      </c>
      <c r="D51" s="34">
        <v>2.0833333333333332E-2</v>
      </c>
    </row>
    <row r="52" spans="1:4">
      <c r="A52" s="55">
        <v>42325</v>
      </c>
      <c r="B52" t="s">
        <v>117</v>
      </c>
      <c r="C52" s="59">
        <f t="shared" ca="1" si="1"/>
        <v>7</v>
      </c>
      <c r="D52" s="34">
        <v>3.125E-2</v>
      </c>
    </row>
    <row r="53" spans="1:4">
      <c r="A53" s="55">
        <v>42325</v>
      </c>
      <c r="B53" t="s">
        <v>86</v>
      </c>
      <c r="C53" s="59">
        <f t="shared" ca="1" si="1"/>
        <v>7</v>
      </c>
      <c r="D53" s="34">
        <v>2.0833333333333332E-2</v>
      </c>
    </row>
    <row r="54" spans="1:4">
      <c r="A54" s="55">
        <v>42325</v>
      </c>
      <c r="B54" t="s">
        <v>130</v>
      </c>
      <c r="C54" s="59">
        <f t="shared" ca="1" si="1"/>
        <v>7</v>
      </c>
      <c r="D54" s="34">
        <v>3.125E-2</v>
      </c>
    </row>
    <row r="55" spans="1:4">
      <c r="A55" s="55">
        <v>42325</v>
      </c>
      <c r="B55" t="s">
        <v>157</v>
      </c>
      <c r="C55" s="59">
        <f t="shared" ca="1" si="1"/>
        <v>7</v>
      </c>
      <c r="D55" s="34">
        <v>4.1666666666666664E-2</v>
      </c>
    </row>
    <row r="56" spans="1:4">
      <c r="A56" s="55">
        <v>42326</v>
      </c>
      <c r="B56" t="s">
        <v>117</v>
      </c>
      <c r="C56" s="59">
        <f t="shared" ca="1" si="1"/>
        <v>6</v>
      </c>
      <c r="D56" s="34">
        <v>3.125E-2</v>
      </c>
    </row>
    <row r="57" spans="1:4">
      <c r="A57" s="55">
        <v>42326</v>
      </c>
      <c r="B57" t="s">
        <v>86</v>
      </c>
      <c r="C57" s="59">
        <f t="shared" ca="1" si="1"/>
        <v>6</v>
      </c>
      <c r="D57" s="34">
        <v>2.0833333333333332E-2</v>
      </c>
    </row>
    <row r="58" spans="1:4">
      <c r="A58" s="55">
        <v>42326</v>
      </c>
      <c r="B58" t="s">
        <v>152</v>
      </c>
      <c r="C58" s="59">
        <f t="shared" ca="1" si="1"/>
        <v>6</v>
      </c>
      <c r="D58" s="34">
        <v>2.0833333333333332E-2</v>
      </c>
    </row>
    <row r="59" spans="1:4">
      <c r="A59" s="55">
        <v>42327</v>
      </c>
      <c r="B59" t="s">
        <v>152</v>
      </c>
      <c r="C59" s="59">
        <f t="shared" ca="1" si="1"/>
        <v>5</v>
      </c>
      <c r="D59" s="34">
        <v>5.2083333333333336E-2</v>
      </c>
    </row>
    <row r="60" spans="1:4">
      <c r="A60" s="55">
        <v>42327</v>
      </c>
      <c r="B60" t="s">
        <v>117</v>
      </c>
      <c r="C60" s="59">
        <f t="shared" ca="1" si="1"/>
        <v>5</v>
      </c>
      <c r="D60" s="34">
        <v>2.0833333333333332E-2</v>
      </c>
    </row>
    <row r="61" spans="1:4">
      <c r="A61" s="55">
        <v>42327</v>
      </c>
      <c r="B61" t="s">
        <v>109</v>
      </c>
      <c r="C61" s="59">
        <f t="shared" ca="1" si="1"/>
        <v>5</v>
      </c>
      <c r="D61" s="34">
        <v>3.125E-2</v>
      </c>
    </row>
    <row r="62" spans="1:4">
      <c r="A62" s="55">
        <v>42327</v>
      </c>
      <c r="B62" t="s">
        <v>86</v>
      </c>
      <c r="C62" s="59">
        <f t="shared" ca="1" si="1"/>
        <v>5</v>
      </c>
      <c r="D62" s="34">
        <v>3.125E-2</v>
      </c>
    </row>
    <row r="63" spans="1:4">
      <c r="A63" s="55">
        <v>42327</v>
      </c>
      <c r="B63" t="s">
        <v>130</v>
      </c>
      <c r="C63" s="59">
        <f t="shared" ca="1" si="1"/>
        <v>5</v>
      </c>
      <c r="D63" s="34">
        <v>4.1666666666666664E-2</v>
      </c>
    </row>
    <row r="64" spans="1:4">
      <c r="A64" s="55">
        <v>42327</v>
      </c>
      <c r="B64" t="s">
        <v>157</v>
      </c>
      <c r="C64" s="59">
        <f t="shared" ca="1" si="1"/>
        <v>5</v>
      </c>
      <c r="D64" s="34">
        <v>8.3333333333333329E-2</v>
      </c>
    </row>
    <row r="65" spans="1:5">
      <c r="A65" s="55">
        <v>42328</v>
      </c>
      <c r="B65" t="s">
        <v>117</v>
      </c>
      <c r="C65" s="59">
        <f t="shared" ca="1" si="1"/>
        <v>4</v>
      </c>
      <c r="D65" s="34">
        <v>3.4722222222222224E-2</v>
      </c>
    </row>
    <row r="66" spans="1:5">
      <c r="A66" s="55">
        <v>42328</v>
      </c>
      <c r="B66" t="s">
        <v>86</v>
      </c>
      <c r="C66" s="59">
        <f t="shared" ca="1" si="1"/>
        <v>4</v>
      </c>
      <c r="D66" s="34">
        <v>2.7777777777777776E-2</v>
      </c>
    </row>
    <row r="67" spans="1:5">
      <c r="A67" s="55">
        <v>42328</v>
      </c>
      <c r="B67" t="s">
        <v>14</v>
      </c>
      <c r="C67" s="59">
        <f t="shared" ca="1" si="1"/>
        <v>4</v>
      </c>
      <c r="D67" s="34">
        <v>2.7777777777777776E-2</v>
      </c>
    </row>
    <row r="68" spans="1:5">
      <c r="A68" s="55">
        <v>42328</v>
      </c>
      <c r="B68" t="s">
        <v>130</v>
      </c>
      <c r="C68" s="59">
        <f t="shared" ca="1" si="1"/>
        <v>4</v>
      </c>
      <c r="D68" s="34">
        <v>4.1666666666666664E-2</v>
      </c>
    </row>
    <row r="69" spans="1:5">
      <c r="A69" s="55">
        <v>42328</v>
      </c>
      <c r="B69" t="s">
        <v>157</v>
      </c>
      <c r="C69" s="59">
        <f t="shared" ca="1" si="1"/>
        <v>4</v>
      </c>
      <c r="D69" s="34">
        <v>8.3333333333333329E-2</v>
      </c>
    </row>
    <row r="70" spans="1:5">
      <c r="A70" s="55">
        <v>42329</v>
      </c>
      <c r="B70" t="s">
        <v>157</v>
      </c>
      <c r="C70" s="59">
        <f t="shared" ca="1" si="1"/>
        <v>3</v>
      </c>
      <c r="D70" s="34">
        <v>5.9027777777777783E-2</v>
      </c>
      <c r="E70" s="43" t="s">
        <v>160</v>
      </c>
    </row>
    <row r="71" spans="1:5">
      <c r="A71" s="55">
        <v>42330</v>
      </c>
      <c r="B71" t="s">
        <v>152</v>
      </c>
      <c r="C71" s="59">
        <f t="shared" ref="C71:C76" ca="1" si="2">TODAY()-A71</f>
        <v>2</v>
      </c>
      <c r="D71" s="34">
        <v>2.0833333333333332E-2</v>
      </c>
    </row>
    <row r="72" spans="1:5">
      <c r="A72" s="55">
        <v>42330</v>
      </c>
      <c r="B72" t="s">
        <v>86</v>
      </c>
      <c r="C72" s="59">
        <f t="shared" ca="1" si="2"/>
        <v>2</v>
      </c>
      <c r="D72" s="34">
        <v>2.0833333333333332E-2</v>
      </c>
    </row>
    <row r="73" spans="1:5">
      <c r="A73" s="55">
        <v>42331</v>
      </c>
      <c r="B73" t="s">
        <v>86</v>
      </c>
      <c r="C73" s="59">
        <f t="shared" ca="1" si="2"/>
        <v>1</v>
      </c>
      <c r="D73" s="34">
        <v>2.4305555555555556E-2</v>
      </c>
    </row>
    <row r="74" spans="1:5">
      <c r="A74" s="55">
        <v>42331</v>
      </c>
      <c r="B74" t="s">
        <v>130</v>
      </c>
      <c r="C74" s="59">
        <f t="shared" ca="1" si="2"/>
        <v>1</v>
      </c>
      <c r="D74" s="34">
        <v>2.0833333333333332E-2</v>
      </c>
    </row>
    <row r="75" spans="1:5">
      <c r="A75" s="55">
        <v>42331</v>
      </c>
      <c r="B75" t="s">
        <v>152</v>
      </c>
      <c r="C75" s="59">
        <f t="shared" ca="1" si="2"/>
        <v>1</v>
      </c>
      <c r="D75" s="34">
        <v>3.125E-2</v>
      </c>
    </row>
    <row r="76" spans="1:5">
      <c r="A76" s="55">
        <v>42332</v>
      </c>
      <c r="B76" t="s">
        <v>86</v>
      </c>
      <c r="C76" s="59">
        <f t="shared" ca="1" si="2"/>
        <v>0</v>
      </c>
      <c r="D76" s="34">
        <v>3.125E-2</v>
      </c>
    </row>
    <row r="77" spans="1:5">
      <c r="A77" s="55">
        <v>42332</v>
      </c>
      <c r="B77" t="s">
        <v>117</v>
      </c>
      <c r="C77" s="59">
        <f ca="1">TODAY()-A77</f>
        <v>0</v>
      </c>
      <c r="D77" s="34">
        <v>4.1666666666666664E-2</v>
      </c>
    </row>
    <row r="86" spans="1:29">
      <c r="G86" s="53" t="s">
        <v>119</v>
      </c>
      <c r="H86" s="35" t="s">
        <v>120</v>
      </c>
      <c r="I86" s="35"/>
    </row>
    <row r="87" spans="1:29">
      <c r="G87" s="34">
        <f ca="1">SUMIF(C:C,0,D:D)</f>
        <v>7.2916666666666657E-2</v>
      </c>
      <c r="H87" s="38" t="str">
        <f ca="1">INDEX(学习总体!C:C,RANDBETWEEN(2,COUNTIF(学习总体!D:D,学习总体!D5)+1))</f>
        <v>[王佩丰]Excel2010数据透视表视频教程</v>
      </c>
      <c r="I87" s="35"/>
    </row>
    <row r="89" spans="1:29" s="50" customFormat="1">
      <c r="A89" s="54"/>
      <c r="B89" s="48" t="s">
        <v>155</v>
      </c>
      <c r="C89" s="58" t="s">
        <v>147</v>
      </c>
      <c r="D89" s="56"/>
      <c r="E89" s="56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</row>
    <row r="90" spans="1:29" s="51" customFormat="1">
      <c r="A90" s="55"/>
      <c r="B90" s="52" t="s">
        <v>145</v>
      </c>
      <c r="C90" s="55">
        <v>42332</v>
      </c>
      <c r="D90" s="55">
        <v>42331</v>
      </c>
      <c r="E90" s="55">
        <v>42330</v>
      </c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</row>
    <row r="91" spans="1:29">
      <c r="B91" s="57" t="s">
        <v>130</v>
      </c>
      <c r="C91" s="34"/>
      <c r="D91" s="34">
        <v>2.0833333333333332E-2</v>
      </c>
      <c r="E91" s="34"/>
      <c r="F91"/>
      <c r="G91"/>
      <c r="H91"/>
      <c r="I91"/>
      <c r="J91"/>
    </row>
    <row r="92" spans="1:29">
      <c r="B92" s="57" t="s">
        <v>152</v>
      </c>
      <c r="C92" s="34"/>
      <c r="D92" s="34">
        <v>3.125E-2</v>
      </c>
      <c r="E92" s="34">
        <v>2.0833333333333332E-2</v>
      </c>
      <c r="F92"/>
      <c r="G92"/>
      <c r="H92"/>
      <c r="I92"/>
      <c r="J92"/>
    </row>
    <row r="93" spans="1:29">
      <c r="B93" s="57" t="s">
        <v>117</v>
      </c>
      <c r="C93" s="34">
        <v>4.1666666666666664E-2</v>
      </c>
      <c r="E93" s="34"/>
      <c r="F93"/>
      <c r="G93"/>
      <c r="H93"/>
      <c r="I93"/>
      <c r="J93"/>
    </row>
    <row r="94" spans="1:29">
      <c r="B94" s="57" t="s">
        <v>86</v>
      </c>
      <c r="C94" s="34">
        <v>3.125E-2</v>
      </c>
      <c r="D94" s="34">
        <v>2.4305555555555556E-2</v>
      </c>
      <c r="E94" s="34">
        <v>2.0833333333333332E-2</v>
      </c>
      <c r="F94"/>
      <c r="G94"/>
      <c r="H94"/>
      <c r="I94"/>
      <c r="J94"/>
    </row>
    <row r="95" spans="1:29">
      <c r="B95" s="49" t="s">
        <v>146</v>
      </c>
      <c r="C95" s="34">
        <v>7.2916666666666657E-2</v>
      </c>
      <c r="D95" s="34">
        <v>7.6388888888888881E-2</v>
      </c>
      <c r="E95" s="34">
        <v>4.1666666666666664E-2</v>
      </c>
      <c r="F95"/>
      <c r="G95"/>
      <c r="H95"/>
      <c r="I95"/>
      <c r="J95"/>
    </row>
    <row r="96" spans="1:29">
      <c r="C96" s="42"/>
      <c r="D96"/>
      <c r="E96"/>
      <c r="F96"/>
      <c r="G96"/>
      <c r="H96"/>
      <c r="I96"/>
      <c r="J96"/>
    </row>
    <row r="97" spans="3:10">
      <c r="C97" s="42"/>
      <c r="D97"/>
      <c r="E97"/>
      <c r="F97"/>
      <c r="G97"/>
      <c r="H97"/>
      <c r="I97"/>
      <c r="J97"/>
    </row>
    <row r="98" spans="3:10">
      <c r="C98" s="42"/>
      <c r="D98"/>
      <c r="E98"/>
      <c r="F98"/>
      <c r="G98"/>
      <c r="H98"/>
      <c r="I98"/>
      <c r="J98"/>
    </row>
    <row r="99" spans="3:10">
      <c r="C99" s="42"/>
      <c r="D99"/>
      <c r="E99"/>
      <c r="F99"/>
      <c r="G99"/>
      <c r="H99"/>
      <c r="I99"/>
      <c r="J99"/>
    </row>
    <row r="100" spans="3:10">
      <c r="C100" s="42"/>
      <c r="D100"/>
      <c r="E100"/>
      <c r="F100"/>
      <c r="G100"/>
      <c r="H100"/>
      <c r="I100"/>
      <c r="J100"/>
    </row>
    <row r="101" spans="3:10">
      <c r="C101" s="42"/>
      <c r="D101"/>
      <c r="E101"/>
      <c r="F101"/>
      <c r="G101"/>
      <c r="H101"/>
      <c r="I101"/>
      <c r="J101"/>
    </row>
    <row r="102" spans="3:10">
      <c r="C102" s="42"/>
      <c r="D102"/>
      <c r="E102"/>
      <c r="F102"/>
      <c r="G102"/>
      <c r="H102"/>
      <c r="I102"/>
      <c r="J102"/>
    </row>
    <row r="103" spans="3:10">
      <c r="C103" s="42"/>
      <c r="D103"/>
      <c r="E103"/>
      <c r="F103"/>
      <c r="G103"/>
      <c r="H103"/>
      <c r="I103"/>
      <c r="J103"/>
    </row>
    <row r="104" spans="3:10">
      <c r="C104" s="42"/>
      <c r="D104"/>
      <c r="E104"/>
      <c r="F104"/>
      <c r="G104"/>
      <c r="H104"/>
      <c r="I104"/>
      <c r="J104"/>
    </row>
    <row r="105" spans="3:10">
      <c r="C105" s="42"/>
      <c r="D105"/>
      <c r="E105"/>
      <c r="F105"/>
      <c r="G105"/>
      <c r="H105"/>
      <c r="I105"/>
      <c r="J105"/>
    </row>
    <row r="106" spans="3:10">
      <c r="C106" s="42"/>
      <c r="D106"/>
      <c r="E106"/>
      <c r="F106"/>
      <c r="G106"/>
      <c r="H106"/>
      <c r="I106"/>
      <c r="J106"/>
    </row>
    <row r="107" spans="3:10">
      <c r="C107" s="42"/>
      <c r="I107"/>
      <c r="J107"/>
    </row>
    <row r="108" spans="3:10">
      <c r="C108" s="42"/>
      <c r="I108"/>
      <c r="J108"/>
    </row>
    <row r="109" spans="3:10">
      <c r="C109" s="42"/>
      <c r="I109"/>
      <c r="J109"/>
    </row>
    <row r="110" spans="3:10">
      <c r="C110" s="42"/>
      <c r="I110"/>
      <c r="J110"/>
    </row>
    <row r="111" spans="3:10">
      <c r="C111" s="42"/>
      <c r="I111"/>
      <c r="J111"/>
    </row>
    <row r="112" spans="3:10">
      <c r="C112" s="42"/>
      <c r="I112"/>
      <c r="J112"/>
    </row>
    <row r="113" spans="3:10">
      <c r="C113" s="42"/>
      <c r="I113"/>
      <c r="J113"/>
    </row>
    <row r="114" spans="3:10">
      <c r="C114" s="42"/>
      <c r="I114"/>
      <c r="J114"/>
    </row>
    <row r="115" spans="3:10">
      <c r="C115" s="42"/>
    </row>
    <row r="116" spans="3:10">
      <c r="C116" s="42"/>
    </row>
    <row r="117" spans="3:10">
      <c r="C117" s="42"/>
    </row>
    <row r="118" spans="3:10">
      <c r="C118" s="42"/>
    </row>
    <row r="119" spans="3:10">
      <c r="C119" s="42"/>
    </row>
    <row r="120" spans="3:10">
      <c r="C120" s="42"/>
    </row>
    <row r="121" spans="3:10">
      <c r="C121" s="42"/>
    </row>
    <row r="122" spans="3:10">
      <c r="C122" s="42"/>
    </row>
    <row r="123" spans="3:10">
      <c r="C123" s="42"/>
    </row>
    <row r="124" spans="3:10">
      <c r="C124" s="42"/>
    </row>
    <row r="125" spans="3:10">
      <c r="C125" s="42"/>
    </row>
    <row r="126" spans="3:10">
      <c r="C126" s="42"/>
    </row>
    <row r="127" spans="3:10">
      <c r="C127" s="42"/>
    </row>
    <row r="128" spans="3:10">
      <c r="C128" s="42"/>
    </row>
    <row r="129" spans="3:3">
      <c r="C129" s="42"/>
    </row>
    <row r="130" spans="3:3">
      <c r="C130" s="42"/>
    </row>
    <row r="131" spans="3:3">
      <c r="C131" s="42"/>
    </row>
    <row r="132" spans="3:3">
      <c r="C132" s="42"/>
    </row>
    <row r="133" spans="3:3">
      <c r="C133" s="42"/>
    </row>
    <row r="134" spans="3:3">
      <c r="C134" s="42"/>
    </row>
    <row r="135" spans="3:3">
      <c r="C135" s="42"/>
    </row>
    <row r="136" spans="3:3">
      <c r="C136" s="42"/>
    </row>
    <row r="137" spans="3:3">
      <c r="C137" s="42"/>
    </row>
    <row r="138" spans="3:3">
      <c r="C138" s="42"/>
    </row>
    <row r="139" spans="3:3">
      <c r="C139" s="42"/>
    </row>
    <row r="140" spans="3:3">
      <c r="C140" s="42"/>
    </row>
    <row r="141" spans="3:3">
      <c r="C141" s="42"/>
    </row>
    <row r="142" spans="3:3">
      <c r="C142" s="42"/>
    </row>
    <row r="143" spans="3:3">
      <c r="C143" s="42"/>
    </row>
    <row r="144" spans="3:3">
      <c r="C144" s="42"/>
    </row>
    <row r="145" spans="3:3">
      <c r="C145" s="42"/>
    </row>
    <row r="146" spans="3:3">
      <c r="C146" s="42"/>
    </row>
    <row r="147" spans="3:3">
      <c r="C147" s="42"/>
    </row>
    <row r="148" spans="3:3">
      <c r="C148" s="42"/>
    </row>
    <row r="149" spans="3:3">
      <c r="C149" s="42"/>
    </row>
    <row r="150" spans="3:3">
      <c r="C150" s="42"/>
    </row>
    <row r="151" spans="3:3">
      <c r="C151" s="42"/>
    </row>
    <row r="152" spans="3:3">
      <c r="C152" s="42"/>
    </row>
    <row r="153" spans="3:3">
      <c r="C153" s="42"/>
    </row>
    <row r="154" spans="3:3">
      <c r="C154" s="42"/>
    </row>
    <row r="155" spans="3:3">
      <c r="C155" s="42"/>
    </row>
    <row r="156" spans="3:3">
      <c r="C156" s="42"/>
    </row>
    <row r="157" spans="3:3">
      <c r="C157" s="42"/>
    </row>
    <row r="158" spans="3:3">
      <c r="C158" s="42"/>
    </row>
    <row r="159" spans="3:3">
      <c r="C159" s="42"/>
    </row>
    <row r="160" spans="3:3">
      <c r="C160" s="42"/>
    </row>
    <row r="161" spans="3:3">
      <c r="C161" s="42"/>
    </row>
    <row r="162" spans="3:3">
      <c r="C162" s="42"/>
    </row>
    <row r="163" spans="3:3">
      <c r="C163" s="42"/>
    </row>
    <row r="164" spans="3:3">
      <c r="C164" s="42"/>
    </row>
    <row r="165" spans="3:3">
      <c r="C165" s="42"/>
    </row>
    <row r="166" spans="3:3">
      <c r="C166" s="42"/>
    </row>
    <row r="167" spans="3:3">
      <c r="C167" s="42"/>
    </row>
    <row r="168" spans="3:3">
      <c r="C168" s="42"/>
    </row>
  </sheetData>
  <phoneticPr fontId="4" type="noConversion"/>
  <conditionalFormatting sqref="A89:A95 G89:G90 A88:G88 A96:B168 D107:G168 D86:F87 D77:G85 A1:G77 A77:C87 A169:G1048576">
    <cfRule type="expression" dxfId="63" priority="3">
      <formula>$A1=TODAY()-1</formula>
    </cfRule>
    <cfRule type="expression" dxfId="62" priority="4">
      <formula>$A1=TODAY()</formula>
    </cfRule>
  </conditionalFormatting>
  <pageMargins left="0.75" right="0.75" top="1" bottom="1" header="0.51180555555555596" footer="0.51180555555555596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学习总体!$C:$C</xm:f>
          </x14:formula1>
          <xm:sqref>B169:B1048576 B1:B88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O65"/>
  <sheetViews>
    <sheetView topLeftCell="A25" workbookViewId="0">
      <selection activeCell="D33" sqref="D33"/>
    </sheetView>
  </sheetViews>
  <sheetFormatPr defaultRowHeight="13.5"/>
  <cols>
    <col min="1" max="1" width="18.375" style="41" bestFit="1" customWidth="1"/>
    <col min="3" max="3" width="10.25" style="45" customWidth="1"/>
    <col min="4" max="4" width="11" style="42" customWidth="1"/>
    <col min="6" max="6" width="16.5" customWidth="1"/>
    <col min="7" max="7" width="9.125" style="42" customWidth="1"/>
    <col min="8" max="8" width="9.25" bestFit="1" customWidth="1"/>
    <col min="9" max="10" width="9" customWidth="1"/>
    <col min="11" max="12" width="9" bestFit="1" customWidth="1"/>
    <col min="13" max="14" width="9.75" bestFit="1" customWidth="1"/>
    <col min="15" max="15" width="5.75" customWidth="1"/>
  </cols>
  <sheetData>
    <row r="1" spans="1:15">
      <c r="A1" s="40" t="s">
        <v>136</v>
      </c>
      <c r="B1" s="39" t="s">
        <v>135</v>
      </c>
      <c r="C1" s="45" t="s">
        <v>151</v>
      </c>
      <c r="D1" s="43" t="s">
        <v>137</v>
      </c>
    </row>
    <row r="2" spans="1:15">
      <c r="A2" s="41">
        <v>42323.902083333334</v>
      </c>
      <c r="B2" t="s">
        <v>140</v>
      </c>
      <c r="C2" s="45">
        <f t="shared" ref="C2:C31" ca="1" si="0">TODAY()-ROUNDDOWN(A2,0)</f>
        <v>9</v>
      </c>
      <c r="D2" s="42">
        <v>30</v>
      </c>
    </row>
    <row r="3" spans="1:15">
      <c r="A3" s="41">
        <v>42323.90347222222</v>
      </c>
      <c r="B3" t="s">
        <v>141</v>
      </c>
      <c r="C3" s="45">
        <f t="shared" ca="1" si="0"/>
        <v>9</v>
      </c>
      <c r="D3" s="42">
        <v>50</v>
      </c>
    </row>
    <row r="4" spans="1:15">
      <c r="A4" s="41">
        <v>42323.904860995368</v>
      </c>
      <c r="B4" t="s">
        <v>138</v>
      </c>
      <c r="C4" s="45">
        <f t="shared" ca="1" si="0"/>
        <v>9</v>
      </c>
      <c r="D4" s="42">
        <v>13</v>
      </c>
    </row>
    <row r="5" spans="1:15">
      <c r="A5" s="41">
        <v>42323.906249826388</v>
      </c>
      <c r="B5" t="s">
        <v>139</v>
      </c>
      <c r="C5" s="45">
        <f t="shared" ca="1" si="0"/>
        <v>9</v>
      </c>
      <c r="D5" s="42">
        <v>10</v>
      </c>
    </row>
    <row r="6" spans="1:15">
      <c r="A6" s="41">
        <v>42323.907638657409</v>
      </c>
      <c r="B6" t="s">
        <v>140</v>
      </c>
      <c r="C6" s="45">
        <f t="shared" ca="1" si="0"/>
        <v>9</v>
      </c>
      <c r="D6" s="42">
        <v>30</v>
      </c>
    </row>
    <row r="7" spans="1:15">
      <c r="A7" s="41">
        <v>42323.909027488429</v>
      </c>
      <c r="B7" t="s">
        <v>141</v>
      </c>
      <c r="C7" s="45">
        <f t="shared" ca="1" si="0"/>
        <v>9</v>
      </c>
      <c r="D7" s="42">
        <v>45</v>
      </c>
    </row>
    <row r="8" spans="1:15">
      <c r="A8" s="41">
        <v>42323.918055555558</v>
      </c>
      <c r="B8" t="s">
        <v>138</v>
      </c>
      <c r="C8" s="45">
        <f t="shared" ca="1" si="0"/>
        <v>9</v>
      </c>
      <c r="D8" s="42">
        <v>20</v>
      </c>
    </row>
    <row r="9" spans="1:15">
      <c r="A9" s="41">
        <v>42323.925000000003</v>
      </c>
      <c r="B9" t="s">
        <v>139</v>
      </c>
      <c r="C9" s="45">
        <f t="shared" ca="1" si="0"/>
        <v>9</v>
      </c>
      <c r="D9" s="42">
        <v>15</v>
      </c>
    </row>
    <row r="10" spans="1:15">
      <c r="A10" s="41">
        <v>42325</v>
      </c>
      <c r="B10" t="s">
        <v>139</v>
      </c>
      <c r="C10" s="45">
        <f t="shared" ca="1" si="0"/>
        <v>7</v>
      </c>
      <c r="D10" s="42">
        <v>20</v>
      </c>
    </row>
    <row r="11" spans="1:15">
      <c r="A11" s="41">
        <v>42325</v>
      </c>
      <c r="B11" t="s">
        <v>139</v>
      </c>
      <c r="C11" s="45">
        <f t="shared" ca="1" si="0"/>
        <v>7</v>
      </c>
      <c r="D11" s="42">
        <v>15</v>
      </c>
    </row>
    <row r="12" spans="1:15">
      <c r="A12" s="41">
        <v>42325.993055555555</v>
      </c>
      <c r="B12" t="s">
        <v>141</v>
      </c>
      <c r="C12" s="45">
        <f t="shared" ca="1" si="0"/>
        <v>7</v>
      </c>
      <c r="D12" s="42">
        <v>35</v>
      </c>
    </row>
    <row r="13" spans="1:15">
      <c r="A13" s="41">
        <v>42325.993055555555</v>
      </c>
      <c r="B13" t="s">
        <v>138</v>
      </c>
      <c r="C13" s="45">
        <f t="shared" ca="1" si="0"/>
        <v>7</v>
      </c>
      <c r="D13" s="42">
        <v>20</v>
      </c>
    </row>
    <row r="14" spans="1:15">
      <c r="A14" s="41">
        <v>42325.993055555555</v>
      </c>
      <c r="B14" t="s">
        <v>139</v>
      </c>
      <c r="C14" s="45">
        <f t="shared" ca="1" si="0"/>
        <v>7</v>
      </c>
      <c r="D14" s="42">
        <v>15</v>
      </c>
    </row>
    <row r="15" spans="1:15">
      <c r="A15" s="41">
        <v>42325.993055555555</v>
      </c>
      <c r="B15" t="s">
        <v>140</v>
      </c>
      <c r="C15" s="45">
        <f t="shared" ca="1" si="0"/>
        <v>7</v>
      </c>
      <c r="D15" s="42">
        <v>35</v>
      </c>
      <c r="J15" s="42"/>
      <c r="K15" s="42"/>
      <c r="L15" s="42"/>
      <c r="M15" s="42"/>
      <c r="N15" s="42"/>
      <c r="O15" s="42"/>
    </row>
    <row r="16" spans="1:15">
      <c r="A16" s="41">
        <v>42326.709027777775</v>
      </c>
      <c r="B16" t="s">
        <v>159</v>
      </c>
      <c r="C16" s="45">
        <f t="shared" ca="1" si="0"/>
        <v>6</v>
      </c>
      <c r="D16" s="42">
        <v>1</v>
      </c>
      <c r="J16" s="42"/>
      <c r="K16" s="42"/>
      <c r="L16" s="42"/>
      <c r="M16" s="42"/>
      <c r="N16" s="42"/>
      <c r="O16" s="42"/>
    </row>
    <row r="17" spans="1:15">
      <c r="A17" s="41">
        <v>42327.413194444445</v>
      </c>
      <c r="B17" t="s">
        <v>159</v>
      </c>
      <c r="C17" s="45">
        <f t="shared" ca="1" si="0"/>
        <v>5</v>
      </c>
      <c r="D17" s="42">
        <v>1</v>
      </c>
      <c r="J17" s="38"/>
      <c r="K17" s="42"/>
      <c r="L17" s="42"/>
      <c r="M17" s="42"/>
      <c r="N17" s="42"/>
      <c r="O17" s="42"/>
    </row>
    <row r="18" spans="1:15">
      <c r="A18" s="41">
        <v>42327.425694444442</v>
      </c>
      <c r="B18" t="s">
        <v>139</v>
      </c>
      <c r="C18" s="45">
        <f t="shared" ca="1" si="0"/>
        <v>5</v>
      </c>
      <c r="D18" s="42">
        <v>15</v>
      </c>
      <c r="M18" s="42"/>
      <c r="N18" s="42"/>
      <c r="O18" s="42"/>
    </row>
    <row r="19" spans="1:15">
      <c r="A19" s="41">
        <v>42328.684027777781</v>
      </c>
      <c r="B19" t="s">
        <v>139</v>
      </c>
      <c r="C19" s="45">
        <f t="shared" ca="1" si="0"/>
        <v>4</v>
      </c>
      <c r="D19" s="42">
        <v>10</v>
      </c>
    </row>
    <row r="20" spans="1:15">
      <c r="A20" s="41">
        <v>42328.684027777781</v>
      </c>
      <c r="B20" t="s">
        <v>139</v>
      </c>
      <c r="C20" s="45">
        <f t="shared" ca="1" si="0"/>
        <v>4</v>
      </c>
      <c r="D20" s="42">
        <v>15</v>
      </c>
    </row>
    <row r="21" spans="1:15">
      <c r="A21" s="41">
        <v>42328.684027777781</v>
      </c>
      <c r="B21" t="s">
        <v>139</v>
      </c>
      <c r="C21" s="45">
        <f t="shared" ca="1" si="0"/>
        <v>4</v>
      </c>
      <c r="D21" s="42">
        <v>16</v>
      </c>
    </row>
    <row r="22" spans="1:15">
      <c r="A22" s="41">
        <v>42330.749305555553</v>
      </c>
      <c r="B22" t="s">
        <v>161</v>
      </c>
      <c r="C22" s="45">
        <f t="shared" ca="1" si="0"/>
        <v>2</v>
      </c>
      <c r="D22" s="42">
        <v>10</v>
      </c>
    </row>
    <row r="23" spans="1:15">
      <c r="A23" s="41">
        <v>42330.749305555553</v>
      </c>
      <c r="B23" t="s">
        <v>161</v>
      </c>
      <c r="C23" s="45">
        <f t="shared" ca="1" si="0"/>
        <v>2</v>
      </c>
      <c r="D23" s="42">
        <v>10</v>
      </c>
    </row>
    <row r="24" spans="1:15">
      <c r="A24" s="41">
        <v>42330.749305555553</v>
      </c>
      <c r="B24" t="s">
        <v>161</v>
      </c>
      <c r="C24" s="45">
        <f t="shared" ca="1" si="0"/>
        <v>2</v>
      </c>
      <c r="D24" s="42">
        <v>10</v>
      </c>
    </row>
    <row r="25" spans="1:15">
      <c r="A25" s="41">
        <v>42330.749305555553</v>
      </c>
      <c r="B25" t="s">
        <v>161</v>
      </c>
      <c r="C25" s="45">
        <f t="shared" ca="1" si="0"/>
        <v>2</v>
      </c>
      <c r="D25" s="42">
        <v>10</v>
      </c>
      <c r="G25"/>
    </row>
    <row r="26" spans="1:15">
      <c r="A26" s="41">
        <v>42330.895138888889</v>
      </c>
      <c r="B26" t="s">
        <v>161</v>
      </c>
      <c r="C26" s="45">
        <f t="shared" ca="1" si="0"/>
        <v>2</v>
      </c>
      <c r="D26" s="42">
        <v>10</v>
      </c>
    </row>
    <row r="27" spans="1:15">
      <c r="A27" s="41">
        <v>42331.550694444442</v>
      </c>
      <c r="B27" t="s">
        <v>159</v>
      </c>
      <c r="C27" s="45">
        <f t="shared" ca="1" si="0"/>
        <v>1</v>
      </c>
      <c r="D27" s="42">
        <v>1</v>
      </c>
    </row>
    <row r="28" spans="1:15">
      <c r="A28" s="41">
        <v>42331.56527777778</v>
      </c>
      <c r="B28" t="s">
        <v>139</v>
      </c>
      <c r="C28" s="45">
        <f t="shared" ca="1" si="0"/>
        <v>1</v>
      </c>
      <c r="D28" s="42">
        <v>17</v>
      </c>
    </row>
    <row r="29" spans="1:15">
      <c r="A29" s="41">
        <v>42331.848611111112</v>
      </c>
      <c r="B29" t="s">
        <v>161</v>
      </c>
      <c r="C29" s="45">
        <f t="shared" ca="1" si="0"/>
        <v>1</v>
      </c>
      <c r="D29" s="42">
        <v>20</v>
      </c>
    </row>
    <row r="30" spans="1:15">
      <c r="A30" s="41">
        <v>42332.380555555559</v>
      </c>
      <c r="B30" t="s">
        <v>161</v>
      </c>
      <c r="C30" s="45">
        <f t="shared" ca="1" si="0"/>
        <v>0</v>
      </c>
      <c r="D30" s="42">
        <v>10</v>
      </c>
    </row>
    <row r="31" spans="1:15">
      <c r="A31" s="41">
        <v>42332.422222222223</v>
      </c>
      <c r="B31" t="s">
        <v>139</v>
      </c>
      <c r="C31" s="45">
        <f t="shared" ca="1" si="0"/>
        <v>0</v>
      </c>
      <c r="D31" s="42">
        <v>15</v>
      </c>
    </row>
    <row r="32" spans="1:15">
      <c r="A32" s="41">
        <v>42332.504166666666</v>
      </c>
      <c r="B32" t="s">
        <v>139</v>
      </c>
      <c r="C32" s="45">
        <f ca="1">TODAY()-ROUNDDOWN(A32,0)</f>
        <v>0</v>
      </c>
      <c r="D32" s="42">
        <v>18</v>
      </c>
    </row>
    <row r="35" spans="6:10">
      <c r="G35"/>
    </row>
    <row r="45" spans="6:10">
      <c r="F45" s="44" t="s">
        <v>148</v>
      </c>
      <c r="G45" s="44" t="s">
        <v>147</v>
      </c>
      <c r="H45" s="42"/>
      <c r="I45" s="42"/>
      <c r="J45" s="42"/>
    </row>
    <row r="46" spans="6:10">
      <c r="F46" s="44" t="s">
        <v>145</v>
      </c>
      <c r="G46" s="42" t="s">
        <v>165</v>
      </c>
      <c r="H46" s="42" t="s">
        <v>164</v>
      </c>
      <c r="I46" s="42" t="s">
        <v>163</v>
      </c>
      <c r="J46" s="42" t="s">
        <v>146</v>
      </c>
    </row>
    <row r="47" spans="6:10">
      <c r="F47" s="38" t="s">
        <v>139</v>
      </c>
      <c r="G47" s="42">
        <v>33</v>
      </c>
      <c r="H47" s="42">
        <v>17</v>
      </c>
      <c r="I47" s="42"/>
      <c r="J47" s="42">
        <v>50</v>
      </c>
    </row>
    <row r="48" spans="6:10">
      <c r="F48" s="38" t="s">
        <v>159</v>
      </c>
      <c r="H48" s="42">
        <v>1</v>
      </c>
      <c r="I48" s="42"/>
      <c r="J48" s="42">
        <v>1</v>
      </c>
    </row>
    <row r="49" spans="6:10">
      <c r="F49" s="38" t="s">
        <v>161</v>
      </c>
      <c r="G49" s="42">
        <v>10</v>
      </c>
      <c r="H49" s="42">
        <v>20</v>
      </c>
      <c r="I49" s="42">
        <v>50</v>
      </c>
      <c r="J49" s="42">
        <v>80</v>
      </c>
    </row>
    <row r="50" spans="6:10">
      <c r="F50" s="38" t="s">
        <v>146</v>
      </c>
      <c r="G50" s="42">
        <v>43</v>
      </c>
      <c r="H50" s="42">
        <v>38</v>
      </c>
      <c r="I50" s="42">
        <v>50</v>
      </c>
      <c r="J50" s="42">
        <v>131</v>
      </c>
    </row>
    <row r="51" spans="6:10">
      <c r="G51"/>
    </row>
    <row r="52" spans="6:10">
      <c r="G52"/>
    </row>
    <row r="53" spans="6:10">
      <c r="G53"/>
    </row>
    <row r="54" spans="6:10">
      <c r="G54"/>
    </row>
    <row r="55" spans="6:10">
      <c r="G55"/>
    </row>
    <row r="56" spans="6:10">
      <c r="G56"/>
    </row>
    <row r="57" spans="6:10">
      <c r="G57"/>
    </row>
    <row r="58" spans="6:10">
      <c r="G58"/>
    </row>
    <row r="59" spans="6:10">
      <c r="G59"/>
    </row>
    <row r="60" spans="6:10">
      <c r="G60"/>
    </row>
    <row r="61" spans="6:10">
      <c r="G61"/>
    </row>
    <row r="62" spans="6:10">
      <c r="G62"/>
    </row>
    <row r="63" spans="6:10">
      <c r="G63"/>
    </row>
    <row r="64" spans="6:10">
      <c r="G64"/>
    </row>
    <row r="65" spans="7:7">
      <c r="G65"/>
    </row>
  </sheetData>
  <phoneticPr fontId="10" type="noConversion"/>
  <pageMargins left="0.7" right="0.7" top="0.75" bottom="0.75" header="0.3" footer="0.3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运动!$B:$B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项目</vt:lpstr>
      <vt:lpstr>运动</vt:lpstr>
      <vt:lpstr>学习总体</vt:lpstr>
      <vt:lpstr>学习记录</vt:lpstr>
      <vt:lpstr>运动记录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ZYF</cp:lastModifiedBy>
  <dcterms:created xsi:type="dcterms:W3CDTF">2015-10-12T12:56:00Z</dcterms:created>
  <dcterms:modified xsi:type="dcterms:W3CDTF">2015-11-24T05:54:21Z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