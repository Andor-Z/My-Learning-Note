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45" i="3" l="1"/>
  <c r="C44" i="3" l="1"/>
  <c r="C43" i="3" l="1"/>
  <c r="C42" i="3" l="1"/>
  <c r="E9" i="2" l="1"/>
  <c r="C41" i="3" l="1"/>
  <c r="G9" i="2" l="1"/>
  <c r="C40" i="3"/>
  <c r="C39" i="3" l="1"/>
  <c r="C38" i="3" l="1"/>
  <c r="J54" i="3" l="1"/>
  <c r="C37" i="3"/>
  <c r="E6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3" i="2"/>
  <c r="E14" i="2" l="1"/>
  <c r="C22" i="3"/>
  <c r="D22" i="3"/>
  <c r="C21" i="3" l="1"/>
  <c r="C20" i="3" l="1"/>
  <c r="C19" i="3" l="1"/>
  <c r="C18" i="3" l="1"/>
  <c r="C17" i="3" l="1"/>
  <c r="C16" i="3" l="1"/>
  <c r="E15" i="2" l="1"/>
  <c r="C15" i="3"/>
  <c r="E4" i="2"/>
  <c r="D14" i="3" l="1"/>
  <c r="C14" i="3"/>
  <c r="C13" i="3" l="1"/>
  <c r="J3" i="1" l="1"/>
  <c r="K3" i="1"/>
  <c r="I3" i="1"/>
  <c r="G3" i="1"/>
  <c r="H3" i="1"/>
  <c r="E11" i="2" l="1"/>
  <c r="C12" i="3" l="1"/>
  <c r="C11" i="3" l="1"/>
  <c r="C10" i="3"/>
  <c r="C9" i="3" l="1"/>
  <c r="C8" i="3" l="1"/>
  <c r="C7" i="3" l="1"/>
  <c r="C6" i="3"/>
  <c r="C5" i="3"/>
  <c r="D5" i="3"/>
  <c r="E29" i="2" s="1"/>
  <c r="C4" i="3"/>
  <c r="D4" i="3"/>
  <c r="C3" i="3"/>
  <c r="C2" i="3"/>
  <c r="E28" i="2"/>
  <c r="E27" i="2"/>
  <c r="E22" i="2"/>
  <c r="E21" i="2"/>
  <c r="E5" i="2"/>
  <c r="G5" i="2" s="1"/>
  <c r="E19" i="2"/>
  <c r="E26" i="2"/>
  <c r="E12" i="2"/>
  <c r="E18" i="2"/>
  <c r="E25" i="2"/>
  <c r="E24" i="2"/>
  <c r="E23" i="2"/>
  <c r="E20" i="2"/>
  <c r="E17" i="2"/>
  <c r="E2" i="2"/>
  <c r="E16" i="2"/>
  <c r="E3" i="2"/>
  <c r="G3" i="2" s="1"/>
  <c r="E8" i="2"/>
  <c r="E10" i="2"/>
  <c r="E30" i="2"/>
  <c r="G30" i="2" s="1"/>
  <c r="I54" i="3" l="1"/>
</calcChain>
</file>

<file path=xl/comments1.xml><?xml version="1.0" encoding="utf-8"?>
<comments xmlns="http://schemas.openxmlformats.org/spreadsheetml/2006/main">
  <authors>
    <author>ZYF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<sst xmlns="http://schemas.openxmlformats.org/spreadsheetml/2006/main" count="199" uniqueCount="134">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</sst>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opLeftCell="A16" workbookViewId="0">
      <selection activeCell="B30" sqref="B30"/>
    </sheetView>
  </sheetViews>
  <sheetFormatPr defaultColWidth="19.5" defaultRowHeight="16.5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>
      <c r="A3" s="15"/>
      <c r="B3" s="16"/>
      <c r="C3" s="17"/>
      <c r="D3" s="18"/>
      <c r="E3" s="11"/>
      <c r="F3" s="10"/>
      <c r="G3" s="13">
        <f ca="1">G2-TODAY()</f>
        <v>43</v>
      </c>
      <c r="H3" s="14">
        <f ca="1">H2-TODAY()</f>
        <v>87</v>
      </c>
      <c r="I3" s="14">
        <f ca="1">I2-TODAY()</f>
        <v>147</v>
      </c>
      <c r="J3" s="14">
        <f ca="1">J2-TODAY()</f>
        <v>225</v>
      </c>
      <c r="K3" s="14">
        <f ca="1">K2-TODAY()</f>
        <v>407</v>
      </c>
    </row>
    <row r="4" spans="1:11">
      <c r="A4" s="15"/>
      <c r="B4" s="16"/>
      <c r="C4" s="17"/>
      <c r="D4" s="18"/>
      <c r="E4" s="11"/>
      <c r="F4" s="11"/>
      <c r="G4" s="11"/>
    </row>
    <row r="5" spans="1:11" ht="66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>
      <c r="A20" s="27"/>
      <c r="B20" s="28"/>
      <c r="C20" s="29"/>
      <c r="D20" s="30"/>
      <c r="E20" s="11"/>
      <c r="F20" s="11"/>
      <c r="G20" s="11"/>
    </row>
    <row r="22" spans="1:7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>
      <c r="B24" s="32" t="s">
        <v>94</v>
      </c>
    </row>
    <row r="25" spans="1:7">
      <c r="B25" s="32" t="s">
        <v>95</v>
      </c>
    </row>
    <row r="26" spans="1:7">
      <c r="B26" s="32" t="s">
        <v>99</v>
      </c>
    </row>
    <row r="29" spans="1:7">
      <c r="A29" s="31" t="s">
        <v>123</v>
      </c>
    </row>
    <row r="30" spans="1:7">
      <c r="A30" s="31" t="s">
        <v>124</v>
      </c>
    </row>
    <row r="31" spans="1:7">
      <c r="A31" s="31" t="s">
        <v>125</v>
      </c>
    </row>
    <row r="32" spans="1:7">
      <c r="A32" s="31" t="s">
        <v>126</v>
      </c>
    </row>
    <row r="33" spans="1:1">
      <c r="A33" s="31" t="s">
        <v>127</v>
      </c>
    </row>
    <row r="34" spans="1:1">
      <c r="A34" s="31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topLeftCell="A7" workbookViewId="0">
      <selection activeCell="C5" sqref="C5"/>
    </sheetView>
  </sheetViews>
  <sheetFormatPr defaultColWidth="9" defaultRowHeight="16.5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>
      <c r="A2" s="3" t="s">
        <v>37</v>
      </c>
      <c r="B2" s="4" t="s">
        <v>49</v>
      </c>
      <c r="C2" s="3" t="s">
        <v>110</v>
      </c>
      <c r="D2" s="5">
        <v>1</v>
      </c>
      <c r="E2" s="6">
        <f>SUMIF(Sheet3!B:B,C2,Sheet3!D:D)</f>
        <v>0.22916666666666666</v>
      </c>
    </row>
    <row r="3" spans="1:7">
      <c r="A3" s="3" t="s">
        <v>102</v>
      </c>
      <c r="B3" s="4" t="s">
        <v>78</v>
      </c>
      <c r="C3" s="4" t="s">
        <v>12</v>
      </c>
      <c r="D3" s="5">
        <v>1</v>
      </c>
      <c r="E3" s="6">
        <f>SUMIF(Sheet3!B:B,C3,Sheet3!D:D)</f>
        <v>0.17708333333333331</v>
      </c>
      <c r="F3" s="35">
        <v>1</v>
      </c>
      <c r="G3" s="34">
        <f>E3/F3</f>
        <v>0.17708333333333331</v>
      </c>
    </row>
    <row r="4" spans="1:7">
      <c r="A4" s="3" t="s">
        <v>115</v>
      </c>
      <c r="B4" s="4" t="s">
        <v>88</v>
      </c>
      <c r="C4" s="4" t="s">
        <v>87</v>
      </c>
      <c r="D4" s="5">
        <v>1</v>
      </c>
      <c r="E4" s="6">
        <f>SUMIF(Sheet3!B:B,C4,Sheet3!D:D)</f>
        <v>0.19444444444444445</v>
      </c>
    </row>
    <row r="5" spans="1:7">
      <c r="A5" s="3" t="s">
        <v>102</v>
      </c>
      <c r="B5" s="4" t="s">
        <v>79</v>
      </c>
      <c r="C5" s="4" t="s">
        <v>34</v>
      </c>
      <c r="D5" s="5">
        <v>1</v>
      </c>
      <c r="E5" s="6">
        <f>SUMIF(Sheet3!B:B,C5,Sheet3!D:D)</f>
        <v>0.12847222222222224</v>
      </c>
      <c r="F5" s="35">
        <v>1.25</v>
      </c>
      <c r="G5" s="34">
        <f>E5/F5</f>
        <v>0.10277777777777779</v>
      </c>
    </row>
    <row r="6" spans="1:7">
      <c r="A6" s="3" t="s">
        <v>116</v>
      </c>
      <c r="C6" s="4" t="s">
        <v>118</v>
      </c>
      <c r="D6" s="5">
        <v>1</v>
      </c>
      <c r="E6" s="6">
        <f>SUMIF(Sheet3!B:B,C6,Sheet3!D:D)</f>
        <v>0.1736111111111111</v>
      </c>
    </row>
    <row r="7" spans="1:7">
      <c r="A7" s="3" t="s">
        <v>103</v>
      </c>
      <c r="C7" s="25" t="s">
        <v>108</v>
      </c>
      <c r="D7" s="5">
        <v>1</v>
      </c>
      <c r="E7" s="6">
        <f>SUMIF(Sheet3!B:B,C7,Sheet3!D:D)</f>
        <v>7.2916666666666657E-2</v>
      </c>
    </row>
    <row r="8" spans="1:7">
      <c r="A8" s="3" t="s">
        <v>103</v>
      </c>
      <c r="B8" s="4" t="s">
        <v>71</v>
      </c>
      <c r="C8" s="4" t="s">
        <v>105</v>
      </c>
      <c r="D8" s="5">
        <v>1</v>
      </c>
      <c r="E8" s="6">
        <f>SUMIF(Sheet3!B:B,C8,Sheet3!D:D)</f>
        <v>4.4444444444444509E-2</v>
      </c>
    </row>
    <row r="9" spans="1:7">
      <c r="A9" s="3" t="s">
        <v>129</v>
      </c>
      <c r="C9" s="4" t="s">
        <v>131</v>
      </c>
      <c r="D9" s="9">
        <v>1</v>
      </c>
      <c r="E9" s="6">
        <f>SUMIF(Sheet3!B:B,C9,Sheet3!D:D)</f>
        <v>4.1666666666666664E-2</v>
      </c>
      <c r="F9" s="35">
        <v>0.58333333333333337</v>
      </c>
      <c r="G9" s="34">
        <f>E9/F9</f>
        <v>7.1428571428571425E-2</v>
      </c>
    </row>
    <row r="10" spans="1:7">
      <c r="A10" s="7" t="s">
        <v>9</v>
      </c>
      <c r="B10" s="4" t="s">
        <v>45</v>
      </c>
      <c r="C10" s="7" t="s">
        <v>10</v>
      </c>
      <c r="D10" s="5">
        <v>2</v>
      </c>
      <c r="E10" s="6">
        <f>SUMIF(Sheet3!B:B,C10,Sheet3!D:D)</f>
        <v>0.100694444444444</v>
      </c>
    </row>
    <row r="11" spans="1:7">
      <c r="A11" s="3" t="s">
        <v>37</v>
      </c>
      <c r="B11" s="4" t="s">
        <v>47</v>
      </c>
      <c r="C11" s="4" t="s">
        <v>38</v>
      </c>
      <c r="D11" s="5">
        <v>2</v>
      </c>
      <c r="E11" s="6">
        <f>SUMIF(Sheet3!B:B,C11,Sheet3!D:D)</f>
        <v>3.6805555555555536E-2</v>
      </c>
    </row>
    <row r="12" spans="1:7">
      <c r="A12" s="3" t="s">
        <v>9</v>
      </c>
      <c r="B12" s="4" t="s">
        <v>46</v>
      </c>
      <c r="C12" s="3" t="s">
        <v>24</v>
      </c>
      <c r="D12" s="5">
        <v>2</v>
      </c>
      <c r="E12" s="6">
        <f>SUMIF(Sheet3!B:B,C12,Sheet3!D:D)</f>
        <v>2.0833333333333332E-2</v>
      </c>
    </row>
    <row r="13" spans="1:7">
      <c r="A13" s="3" t="s">
        <v>103</v>
      </c>
      <c r="C13" s="25" t="s">
        <v>107</v>
      </c>
      <c r="D13" s="5">
        <v>2</v>
      </c>
      <c r="E13" s="6">
        <f>SUMIF(Sheet3!B:B,C13,Sheet3!D:D)</f>
        <v>0</v>
      </c>
    </row>
    <row r="14" spans="1:7">
      <c r="A14" s="3" t="s">
        <v>103</v>
      </c>
      <c r="C14" s="4" t="s">
        <v>106</v>
      </c>
      <c r="D14" s="5">
        <v>2</v>
      </c>
      <c r="E14" s="6">
        <f>SUMIF(Sheet3!B:B,C14,Sheet3!D:D)</f>
        <v>0</v>
      </c>
    </row>
    <row r="15" spans="1:7">
      <c r="A15" s="3" t="s">
        <v>89</v>
      </c>
      <c r="C15" s="25" t="s">
        <v>90</v>
      </c>
      <c r="D15" s="5">
        <v>2</v>
      </c>
      <c r="E15" s="6">
        <f>SUMIF(Sheet3!B:B,C15,Sheet3!D:D)</f>
        <v>0</v>
      </c>
    </row>
    <row r="16" spans="1:7">
      <c r="A16" s="3" t="s">
        <v>37</v>
      </c>
      <c r="B16" s="4" t="s">
        <v>48</v>
      </c>
      <c r="C16" s="3" t="s">
        <v>13</v>
      </c>
      <c r="D16" s="5">
        <v>2</v>
      </c>
      <c r="E16" s="6">
        <f>SUMIF(Sheet3!B:B,C16,Sheet3!D:D)</f>
        <v>0</v>
      </c>
    </row>
    <row r="17" spans="1:7">
      <c r="A17" s="3" t="s">
        <v>37</v>
      </c>
      <c r="B17" s="4" t="s">
        <v>50</v>
      </c>
      <c r="C17" s="3" t="s">
        <v>15</v>
      </c>
      <c r="D17" s="5">
        <v>2</v>
      </c>
      <c r="E17" s="6">
        <f>SUMIF(Sheet3!B:B,C17,Sheet3!D:D)</f>
        <v>0</v>
      </c>
    </row>
    <row r="18" spans="1:7">
      <c r="A18" s="3" t="s">
        <v>37</v>
      </c>
      <c r="B18" s="4" t="s">
        <v>51</v>
      </c>
      <c r="C18" s="3" t="s">
        <v>23</v>
      </c>
      <c r="D18" s="5">
        <v>2</v>
      </c>
      <c r="E18" s="6">
        <f>SUMIF(Sheet3!B:B,C18,Sheet3!D:D)</f>
        <v>0</v>
      </c>
    </row>
    <row r="19" spans="1:7">
      <c r="A19" s="3" t="s">
        <v>11</v>
      </c>
      <c r="B19" s="4" t="s">
        <v>72</v>
      </c>
      <c r="C19" s="4" t="s">
        <v>26</v>
      </c>
      <c r="D19" s="5">
        <v>2</v>
      </c>
      <c r="E19" s="6">
        <f>SUMIF(Sheet3!B:B,C19,Sheet3!D:D)</f>
        <v>0</v>
      </c>
    </row>
    <row r="20" spans="1:7">
      <c r="A20" s="3" t="s">
        <v>16</v>
      </c>
      <c r="B20" s="4" t="s">
        <v>74</v>
      </c>
      <c r="C20" s="3" t="s">
        <v>16</v>
      </c>
      <c r="D20" s="5">
        <v>2</v>
      </c>
      <c r="E20" s="6">
        <f>SUMIF(Sheet3!B:B,C20,Sheet3!D:D)</f>
        <v>0</v>
      </c>
    </row>
    <row r="21" spans="1:7">
      <c r="A21" s="3" t="s">
        <v>16</v>
      </c>
      <c r="B21" s="4" t="s">
        <v>75</v>
      </c>
      <c r="C21" s="4" t="s">
        <v>27</v>
      </c>
      <c r="D21" s="5">
        <v>2</v>
      </c>
      <c r="E21" s="6">
        <f>SUMIF(Sheet3!B:B,C21,Sheet3!D:D)</f>
        <v>0</v>
      </c>
    </row>
    <row r="22" spans="1:7">
      <c r="A22" s="3" t="s">
        <v>16</v>
      </c>
      <c r="B22" s="4" t="s">
        <v>76</v>
      </c>
      <c r="C22" s="4" t="s">
        <v>28</v>
      </c>
      <c r="D22" s="5">
        <v>2</v>
      </c>
      <c r="E22" s="6">
        <f>SUMIF(Sheet3!B:B,C22,Sheet3!D:D)</f>
        <v>0</v>
      </c>
    </row>
    <row r="23" spans="1:7">
      <c r="A23" s="3" t="s">
        <v>17</v>
      </c>
      <c r="B23" s="4" t="s">
        <v>80</v>
      </c>
      <c r="C23" s="4" t="s">
        <v>18</v>
      </c>
      <c r="D23" s="5">
        <v>2</v>
      </c>
      <c r="E23" s="6">
        <f>SUMIF(Sheet3!B:B,C23,Sheet3!D:D)</f>
        <v>0</v>
      </c>
    </row>
    <row r="24" spans="1:7">
      <c r="A24" s="3" t="s">
        <v>17</v>
      </c>
      <c r="B24" s="4" t="s">
        <v>81</v>
      </c>
      <c r="C24" s="4" t="s">
        <v>19</v>
      </c>
      <c r="D24" s="5">
        <v>2</v>
      </c>
      <c r="E24" s="6">
        <f>SUMIF(Sheet3!B:B,C24,Sheet3!D:D)</f>
        <v>0</v>
      </c>
    </row>
    <row r="25" spans="1:7">
      <c r="A25" s="3" t="s">
        <v>9</v>
      </c>
      <c r="B25" s="4" t="s">
        <v>52</v>
      </c>
      <c r="C25" s="3" t="s">
        <v>20</v>
      </c>
      <c r="D25" s="5">
        <v>3</v>
      </c>
      <c r="E25" s="6">
        <f>SUMIF(Sheet3!B:B,C25,Sheet3!D:D)</f>
        <v>0</v>
      </c>
    </row>
    <row r="26" spans="1:7">
      <c r="A26" s="3" t="s">
        <v>9</v>
      </c>
      <c r="B26" s="4" t="s">
        <v>53</v>
      </c>
      <c r="C26" s="3" t="s">
        <v>25</v>
      </c>
      <c r="D26" s="5">
        <v>3</v>
      </c>
      <c r="E26" s="6">
        <f>SUMIF(Sheet3!B:B,C26,Sheet3!D:D)</f>
        <v>0</v>
      </c>
    </row>
    <row r="27" spans="1:7">
      <c r="A27" s="3" t="s">
        <v>16</v>
      </c>
      <c r="B27" s="4" t="s">
        <v>77</v>
      </c>
      <c r="C27" s="4" t="s">
        <v>29</v>
      </c>
      <c r="D27" s="5">
        <v>3</v>
      </c>
      <c r="E27" s="6">
        <f>SUMIF(Sheet3!B:B,C27,Sheet3!D:D)</f>
        <v>0</v>
      </c>
    </row>
    <row r="28" spans="1:7">
      <c r="A28" s="3" t="s">
        <v>17</v>
      </c>
      <c r="B28" s="4" t="s">
        <v>82</v>
      </c>
      <c r="C28" s="4" t="s">
        <v>30</v>
      </c>
      <c r="D28" s="5">
        <v>3</v>
      </c>
      <c r="E28" s="6">
        <f>SUMIF(Sheet3!B:B,C28,Sheet3!D:D)</f>
        <v>0</v>
      </c>
    </row>
    <row r="29" spans="1:7">
      <c r="A29" s="7" t="s">
        <v>21</v>
      </c>
      <c r="B29" s="4" t="s">
        <v>73</v>
      </c>
      <c r="C29" s="8" t="s">
        <v>22</v>
      </c>
      <c r="D29" s="5">
        <v>5</v>
      </c>
      <c r="E29" s="6">
        <f>SUMIF(Sheet3!B:B,C29,Sheet3!D:D)</f>
        <v>1.4583333333332948E-2</v>
      </c>
    </row>
    <row r="30" spans="1:7">
      <c r="A30" s="3" t="s">
        <v>7</v>
      </c>
      <c r="B30" s="4" t="s">
        <v>44</v>
      </c>
      <c r="C30" s="4" t="s">
        <v>121</v>
      </c>
      <c r="D30" s="5">
        <v>100</v>
      </c>
      <c r="E30" s="6">
        <f>SUMIF(Sheet3!B:B,C30,Sheet3!D:D)</f>
        <v>0.4965277777777779</v>
      </c>
      <c r="F30" s="35">
        <v>0.49652777777777773</v>
      </c>
      <c r="G30" s="34">
        <f>E30/F30</f>
        <v>1.0000000000000004</v>
      </c>
    </row>
  </sheetData>
  <autoFilter ref="A1:E30"/>
  <sortState ref="A2:G30">
    <sortCondition ref="D2:D30"/>
    <sortCondition descending="1" ref="E2:E30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5" r:id="rId1" location="/learn/content"/>
    <hyperlink ref="C13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abSelected="1" topLeftCell="A25" workbookViewId="0">
      <selection activeCell="I53" sqref="I53:J54"/>
    </sheetView>
  </sheetViews>
  <sheetFormatPr defaultColWidth="9" defaultRowHeight="13.5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>
      <c r="A2" s="26">
        <v>42300</v>
      </c>
      <c r="B2" t="s">
        <v>8</v>
      </c>
      <c r="C2" s="38">
        <f t="shared" ref="C2:C45" ca="1" si="0">TODAY()-A2</f>
        <v>21</v>
      </c>
      <c r="D2" s="37">
        <v>4.1666666666666699E-2</v>
      </c>
    </row>
    <row r="3" spans="1:7">
      <c r="A3" s="26">
        <v>42300</v>
      </c>
      <c r="B3" t="s">
        <v>12</v>
      </c>
      <c r="C3" s="38">
        <f t="shared" ca="1" si="0"/>
        <v>21</v>
      </c>
      <c r="D3" s="37">
        <v>6.25E-2</v>
      </c>
    </row>
    <row r="4" spans="1:7">
      <c r="A4" s="26">
        <v>42301</v>
      </c>
      <c r="B4" t="s">
        <v>33</v>
      </c>
      <c r="C4" s="38">
        <f t="shared" ca="1" si="0"/>
        <v>20</v>
      </c>
      <c r="D4" s="37">
        <f>G4-F4</f>
        <v>0.100694444444444</v>
      </c>
      <c r="F4" s="1">
        <v>0</v>
      </c>
      <c r="G4" s="1">
        <v>0.100694444444444</v>
      </c>
    </row>
    <row r="5" spans="1:7">
      <c r="A5" s="26">
        <v>42302</v>
      </c>
      <c r="B5" t="s">
        <v>22</v>
      </c>
      <c r="C5" s="38">
        <f t="shared" ca="1" si="0"/>
        <v>19</v>
      </c>
      <c r="D5" s="37">
        <f>G5-F5</f>
        <v>1.4583333333332948E-2</v>
      </c>
      <c r="F5" s="1">
        <v>0.53125</v>
      </c>
      <c r="G5" s="1">
        <v>0.54583333333333295</v>
      </c>
    </row>
    <row r="6" spans="1:7">
      <c r="A6" s="26">
        <v>42303</v>
      </c>
      <c r="B6" t="s">
        <v>8</v>
      </c>
      <c r="C6" s="38">
        <f t="shared" ca="1" si="0"/>
        <v>18</v>
      </c>
      <c r="D6" s="37">
        <v>4.1666666666666699E-2</v>
      </c>
    </row>
    <row r="7" spans="1:7">
      <c r="A7" s="26">
        <v>42303</v>
      </c>
      <c r="B7" t="s">
        <v>12</v>
      </c>
      <c r="C7" s="38">
        <f t="shared" ca="1" si="0"/>
        <v>18</v>
      </c>
      <c r="D7" s="37">
        <v>4.1666666666666664E-2</v>
      </c>
    </row>
    <row r="8" spans="1:7">
      <c r="A8" s="26">
        <v>42304</v>
      </c>
      <c r="B8" t="s">
        <v>8</v>
      </c>
      <c r="C8" s="38">
        <f t="shared" ca="1" si="0"/>
        <v>17</v>
      </c>
      <c r="D8" s="37">
        <v>6.25E-2</v>
      </c>
    </row>
    <row r="9" spans="1:7">
      <c r="A9" s="26">
        <v>42304</v>
      </c>
      <c r="B9" t="s">
        <v>24</v>
      </c>
      <c r="C9" s="38">
        <f t="shared" ca="1" si="0"/>
        <v>17</v>
      </c>
      <c r="D9" s="37">
        <v>2.0833333333333332E-2</v>
      </c>
    </row>
    <row r="10" spans="1:7">
      <c r="A10" s="26">
        <v>42305</v>
      </c>
      <c r="B10" t="s">
        <v>8</v>
      </c>
      <c r="C10" s="38">
        <f t="shared" ca="1" si="0"/>
        <v>16</v>
      </c>
      <c r="D10" s="37">
        <v>3.125E-2</v>
      </c>
    </row>
    <row r="11" spans="1:7">
      <c r="A11" s="26">
        <v>42305</v>
      </c>
      <c r="B11" t="s">
        <v>36</v>
      </c>
      <c r="C11" s="38">
        <f t="shared" ca="1" si="0"/>
        <v>16</v>
      </c>
      <c r="D11" s="37">
        <v>4.5138888888888888E-2</v>
      </c>
    </row>
    <row r="12" spans="1:7">
      <c r="A12" s="26">
        <v>42306</v>
      </c>
      <c r="B12" t="s">
        <v>8</v>
      </c>
      <c r="C12" s="38">
        <f t="shared" ca="1" si="0"/>
        <v>15</v>
      </c>
      <c r="D12" s="37">
        <v>4.1666666666666664E-2</v>
      </c>
    </row>
    <row r="13" spans="1:7">
      <c r="A13" s="26">
        <v>42307</v>
      </c>
      <c r="B13" t="s">
        <v>8</v>
      </c>
      <c r="C13" s="38">
        <f t="shared" ca="1" si="0"/>
        <v>14</v>
      </c>
      <c r="D13" s="37">
        <v>4.1666666666666664E-2</v>
      </c>
    </row>
    <row r="14" spans="1:7">
      <c r="A14" s="26">
        <v>42308</v>
      </c>
      <c r="B14" t="s">
        <v>83</v>
      </c>
      <c r="C14" s="38">
        <f t="shared" ca="1" si="0"/>
        <v>13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>
      <c r="A15" s="26">
        <v>42310</v>
      </c>
      <c r="B15" t="s">
        <v>86</v>
      </c>
      <c r="C15" s="38">
        <f t="shared" ca="1" si="0"/>
        <v>11</v>
      </c>
      <c r="D15" s="37">
        <v>3.125E-2</v>
      </c>
    </row>
    <row r="16" spans="1:7">
      <c r="A16" s="26">
        <v>42311</v>
      </c>
      <c r="B16" t="s">
        <v>8</v>
      </c>
      <c r="C16" s="38">
        <f t="shared" ca="1" si="0"/>
        <v>10</v>
      </c>
      <c r="D16" s="37">
        <v>4.1666666666666664E-2</v>
      </c>
    </row>
    <row r="17" spans="1:7">
      <c r="A17" s="26">
        <v>42311</v>
      </c>
      <c r="B17" t="s">
        <v>86</v>
      </c>
      <c r="C17" s="38">
        <f t="shared" ca="1" si="0"/>
        <v>10</v>
      </c>
      <c r="D17" s="37">
        <v>2.0833333333333332E-2</v>
      </c>
    </row>
    <row r="18" spans="1:7">
      <c r="A18" s="26">
        <v>42312</v>
      </c>
      <c r="B18" t="s">
        <v>8</v>
      </c>
      <c r="C18" s="38">
        <f t="shared" ca="1" si="0"/>
        <v>9</v>
      </c>
      <c r="D18" s="37">
        <v>4.1666666666666664E-2</v>
      </c>
    </row>
    <row r="19" spans="1:7">
      <c r="A19" s="26">
        <v>42312</v>
      </c>
      <c r="B19" t="s">
        <v>86</v>
      </c>
      <c r="C19" s="38">
        <f t="shared" ca="1" si="0"/>
        <v>9</v>
      </c>
      <c r="D19" s="37">
        <v>2.0833333333333332E-2</v>
      </c>
    </row>
    <row r="20" spans="1:7">
      <c r="A20" s="26">
        <v>42312</v>
      </c>
      <c r="B20" t="s">
        <v>12</v>
      </c>
      <c r="C20" s="38">
        <f t="shared" ca="1" si="0"/>
        <v>9</v>
      </c>
      <c r="D20" s="37">
        <v>4.1666666666666664E-2</v>
      </c>
    </row>
    <row r="21" spans="1:7">
      <c r="A21" s="26">
        <v>42312</v>
      </c>
      <c r="B21" t="s">
        <v>36</v>
      </c>
      <c r="C21" s="38">
        <f t="shared" ca="1" si="0"/>
        <v>9</v>
      </c>
      <c r="D21" s="37">
        <v>6.25E-2</v>
      </c>
    </row>
    <row r="22" spans="1:7">
      <c r="A22" s="26">
        <v>42312</v>
      </c>
      <c r="B22" t="s">
        <v>104</v>
      </c>
      <c r="C22" s="38">
        <f t="shared" ca="1" si="0"/>
        <v>9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>
      <c r="A23" s="26">
        <v>42313</v>
      </c>
      <c r="B23" t="s">
        <v>8</v>
      </c>
      <c r="C23" s="38">
        <f t="shared" ca="1" si="0"/>
        <v>8</v>
      </c>
      <c r="D23" s="37">
        <v>4.8611111111111112E-2</v>
      </c>
    </row>
    <row r="24" spans="1:7">
      <c r="A24" s="26">
        <v>42313</v>
      </c>
      <c r="B24" t="s">
        <v>109</v>
      </c>
      <c r="C24" s="38">
        <f t="shared" ca="1" si="0"/>
        <v>8</v>
      </c>
      <c r="D24" s="37">
        <v>2.0833333333333332E-2</v>
      </c>
    </row>
    <row r="25" spans="1:7">
      <c r="A25" s="26">
        <v>42313</v>
      </c>
      <c r="B25" t="s">
        <v>14</v>
      </c>
      <c r="C25" s="38">
        <f t="shared" ca="1" si="0"/>
        <v>8</v>
      </c>
      <c r="D25" s="37">
        <v>4.1666666666666664E-2</v>
      </c>
    </row>
    <row r="26" spans="1:7">
      <c r="A26" s="26">
        <v>42314</v>
      </c>
      <c r="B26" t="s">
        <v>8</v>
      </c>
      <c r="C26" s="38">
        <f t="shared" ca="1" si="0"/>
        <v>7</v>
      </c>
      <c r="D26" s="37">
        <v>4.1666666666666664E-2</v>
      </c>
    </row>
    <row r="27" spans="1:7">
      <c r="A27" s="26">
        <v>42314</v>
      </c>
      <c r="B27" t="s">
        <v>86</v>
      </c>
      <c r="C27" s="38">
        <f t="shared" ca="1" si="0"/>
        <v>7</v>
      </c>
      <c r="D27" s="37">
        <v>3.125E-2</v>
      </c>
    </row>
    <row r="28" spans="1:7">
      <c r="A28" s="26">
        <v>42314</v>
      </c>
      <c r="B28" t="s">
        <v>14</v>
      </c>
      <c r="C28" s="38">
        <f t="shared" ca="1" si="0"/>
        <v>7</v>
      </c>
      <c r="D28" s="37">
        <v>4.1666666666666664E-2</v>
      </c>
    </row>
    <row r="29" spans="1:7">
      <c r="A29" s="26">
        <v>42315</v>
      </c>
      <c r="B29" t="s">
        <v>109</v>
      </c>
      <c r="C29" s="38">
        <f t="shared" ca="1" si="0"/>
        <v>6</v>
      </c>
      <c r="D29" s="37">
        <v>2.0833333333333332E-2</v>
      </c>
    </row>
    <row r="30" spans="1:7">
      <c r="A30" s="26">
        <v>42315</v>
      </c>
      <c r="B30" t="s">
        <v>14</v>
      </c>
      <c r="C30" s="38">
        <f t="shared" ca="1" si="0"/>
        <v>6</v>
      </c>
      <c r="D30" s="37">
        <v>0.10416666666666667</v>
      </c>
      <c r="E30" s="36"/>
    </row>
    <row r="31" spans="1:7">
      <c r="A31" s="26">
        <v>42316</v>
      </c>
      <c r="B31" t="s">
        <v>12</v>
      </c>
      <c r="C31" s="38">
        <f t="shared" ca="1" si="0"/>
        <v>5</v>
      </c>
      <c r="D31" s="37">
        <v>3.125E-2</v>
      </c>
    </row>
    <row r="32" spans="1:7">
      <c r="A32" s="26">
        <v>42316</v>
      </c>
      <c r="B32" t="s">
        <v>36</v>
      </c>
      <c r="C32" s="38">
        <f t="shared" ca="1" si="0"/>
        <v>5</v>
      </c>
      <c r="D32" s="37">
        <v>2.0833333333333332E-2</v>
      </c>
    </row>
    <row r="33" spans="1:5">
      <c r="A33" s="26">
        <v>42316</v>
      </c>
      <c r="B33" t="s">
        <v>109</v>
      </c>
      <c r="C33" s="38">
        <f t="shared" ca="1" si="0"/>
        <v>5</v>
      </c>
      <c r="D33" s="37">
        <v>3.125E-2</v>
      </c>
      <c r="E33" s="36" t="s">
        <v>114</v>
      </c>
    </row>
    <row r="34" spans="1:5">
      <c r="A34" s="26">
        <v>42317</v>
      </c>
      <c r="B34" t="s">
        <v>14</v>
      </c>
      <c r="C34" s="38">
        <f t="shared" ca="1" si="0"/>
        <v>4</v>
      </c>
      <c r="D34" s="41">
        <v>4.1666666666666664E-2</v>
      </c>
    </row>
    <row r="35" spans="1:5">
      <c r="A35" s="26">
        <v>42317</v>
      </c>
      <c r="B35" t="s">
        <v>8</v>
      </c>
      <c r="C35" s="38">
        <f t="shared" ca="1" si="0"/>
        <v>4</v>
      </c>
      <c r="D35" s="37">
        <v>4.1666666666666664E-2</v>
      </c>
    </row>
    <row r="36" spans="1:5">
      <c r="A36" s="26">
        <v>42317</v>
      </c>
      <c r="B36" t="s">
        <v>86</v>
      </c>
      <c r="C36" s="38">
        <f t="shared" ca="1" si="0"/>
        <v>4</v>
      </c>
      <c r="D36" s="37">
        <v>2.0833333333333332E-2</v>
      </c>
    </row>
    <row r="37" spans="1:5">
      <c r="A37" s="26">
        <v>42317</v>
      </c>
      <c r="B37" t="s">
        <v>117</v>
      </c>
      <c r="C37" s="38">
        <f t="shared" ca="1" si="0"/>
        <v>4</v>
      </c>
      <c r="D37" s="37">
        <v>5.2083333333333336E-2</v>
      </c>
    </row>
    <row r="38" spans="1:5" ht="15.75" customHeight="1">
      <c r="A38" s="26">
        <v>42318</v>
      </c>
      <c r="B38" t="s">
        <v>8</v>
      </c>
      <c r="C38" s="38">
        <f t="shared" ca="1" si="0"/>
        <v>3</v>
      </c>
      <c r="D38" s="37">
        <v>2.0833333333333332E-2</v>
      </c>
      <c r="E38" s="39" t="s">
        <v>122</v>
      </c>
    </row>
    <row r="39" spans="1:5">
      <c r="A39" s="26">
        <v>42318</v>
      </c>
      <c r="B39" t="s">
        <v>86</v>
      </c>
      <c r="C39" s="38">
        <f t="shared" ca="1" si="0"/>
        <v>3</v>
      </c>
      <c r="D39" s="37">
        <v>2.0833333333333332E-2</v>
      </c>
    </row>
    <row r="40" spans="1:5">
      <c r="A40" s="26">
        <v>42319</v>
      </c>
      <c r="B40" t="s">
        <v>130</v>
      </c>
      <c r="C40" s="38">
        <f t="shared" ca="1" si="0"/>
        <v>2</v>
      </c>
      <c r="D40" s="37">
        <v>4.1666666666666664E-2</v>
      </c>
    </row>
    <row r="41" spans="1:5">
      <c r="A41" s="26">
        <v>42319</v>
      </c>
      <c r="B41" t="s">
        <v>117</v>
      </c>
      <c r="C41" s="38">
        <f t="shared" ca="1" si="0"/>
        <v>2</v>
      </c>
      <c r="D41" s="37">
        <v>3.125E-2</v>
      </c>
    </row>
    <row r="42" spans="1:5">
      <c r="A42" s="26">
        <v>42320</v>
      </c>
      <c r="B42" t="s">
        <v>117</v>
      </c>
      <c r="C42" s="38">
        <f t="shared" ca="1" si="0"/>
        <v>1</v>
      </c>
      <c r="D42" s="37">
        <v>4.1666666666666664E-2</v>
      </c>
    </row>
    <row r="43" spans="1:5">
      <c r="A43" s="26">
        <v>42320</v>
      </c>
      <c r="B43" t="s">
        <v>86</v>
      </c>
      <c r="C43" s="38">
        <f t="shared" ca="1" si="0"/>
        <v>1</v>
      </c>
      <c r="D43" s="37">
        <v>2.7777777777777776E-2</v>
      </c>
    </row>
    <row r="44" spans="1:5">
      <c r="A44" s="26">
        <v>42321</v>
      </c>
      <c r="B44" t="s">
        <v>117</v>
      </c>
      <c r="C44" s="38">
        <f t="shared" ca="1" si="0"/>
        <v>0</v>
      </c>
      <c r="D44" s="37">
        <v>4.8611111111111112E-2</v>
      </c>
    </row>
    <row r="45" spans="1:5">
      <c r="A45" s="26">
        <v>42321</v>
      </c>
      <c r="B45" t="s">
        <v>86</v>
      </c>
      <c r="C45" s="38">
        <f t="shared" ca="1" si="0"/>
        <v>0</v>
      </c>
      <c r="D45" s="37">
        <v>2.0833333333333332E-2</v>
      </c>
    </row>
    <row r="53" spans="9:10">
      <c r="I53" s="37" t="s">
        <v>119</v>
      </c>
      <c r="J53" s="38" t="s">
        <v>120</v>
      </c>
    </row>
    <row r="54" spans="9:10">
      <c r="I54" s="37">
        <f ca="1">SUMIF(C:C,0,D:D)</f>
        <v>6.9444444444444448E-2</v>
      </c>
      <c r="J54" s="42" t="str">
        <f ca="1">INDEX(总体!C:C,RANDBETWEEN(2,COUNTIF(总体!D:D,总体!D3)+1))</f>
        <v>百词斩-考研核心词汇</v>
      </c>
    </row>
  </sheetData>
  <phoneticPr fontId="4" type="noConversion"/>
  <conditionalFormatting sqref="A1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2015-11-13T05:10:13Z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