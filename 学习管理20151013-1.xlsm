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13" i="3" l="1"/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3" i="2" s="1"/>
  <c r="F4" i="3"/>
  <c r="C4" i="3"/>
  <c r="F3" i="3"/>
  <c r="F2" i="3"/>
  <c r="E22" i="2"/>
  <c r="E21" i="2"/>
  <c r="E16" i="2"/>
  <c r="E15" i="2"/>
  <c r="E5" i="2"/>
  <c r="E13" i="2"/>
  <c r="E20" i="2"/>
  <c r="E6" i="2"/>
  <c r="E12" i="2"/>
  <c r="E19" i="2"/>
  <c r="E18" i="2"/>
  <c r="E17" i="2"/>
  <c r="E14" i="2"/>
  <c r="E11" i="2"/>
  <c r="E10" i="2"/>
  <c r="E9" i="2"/>
  <c r="E3" i="2"/>
  <c r="E7" i="2"/>
  <c r="E4" i="2"/>
  <c r="E2" i="2"/>
</calcChain>
</file>

<file path=xl/sharedStrings.xml><?xml version="1.0" encoding="utf-8"?>
<sst xmlns="http://schemas.openxmlformats.org/spreadsheetml/2006/main" count="133" uniqueCount="97">
  <si>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</si>
  <si>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</si>
  <si>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</si>
  <si>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</si>
  <si>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</si>
  <si>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</si>
  <si>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</si>
  <si>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</si>
  <si>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</si>
  <si>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</si>
  <si>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</si>
  <si>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</si>
  <si>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</si>
  <si>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</si>
  <si>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</si>
  <si>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</si>
  <si>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</si>
  <si>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</si>
  <si>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</si>
  <si>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</si>
  <si>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</si>
  <si>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</si>
  <si>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</si>
  <si>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</si>
  <si>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</si>
  <si>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</si>
  <si>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</si>
  <si>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</si>
  <si>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</si>
  <si>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</si>
  <si>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</si>
  <si>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</si>
  <si>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</si>
  <si>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</si>
  <si>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</si>
  <si>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</si>
  <si>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</si>
  <si>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</si>
  <si>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</si>
  <si>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</si>
  <si>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</si>
  <si>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</si>
  <si>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</si>
  <si>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</si>
  <si>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</si>
  <si>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</si>
  <si>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</si>
  <si>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</si>
  <si>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</si>
  <si>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</si>
  <si>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</si>
  <si>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</si>
  <si>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</si>
  <si>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</si>
  <si>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</si>
  <si>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</si>
  <si>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</si>
  <si>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</si>
  <si>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</si>
  <si>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</si>
  <si>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</si>
  <si>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</si>
  <si>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</si>
  <si>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</si>
  <si>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</si>
  <si>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</si>
  <si>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</si>
  <si>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</si>
  <si>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</si>
  <si>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《计算机操作系统》（汤子瀛 西安电子科技大学出版社） </t>
  </si>
  <si>
    <t>《计算机网络》（谢希仁 电子工业出版社）</t>
  </si>
  <si>
    <t>《计算机组成原理（第2版）》（唐朔飞 高等教育出版社)</t>
  </si>
  <si>
    <t>《数据结构》（C语言版）（严蔚敏 清华大学出版社）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</si>
  <si>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</si>
  <si>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</si>
  <si>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</si>
  <si>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</si>
  <si>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</si>
  <si>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</si>
  <si>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</si>
  <si>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</si>
  <si>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</si>
  <si>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</si>
  <si>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</si>
  <si>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</si>
  <si>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</si>
  <si>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</si>
  <si>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</si>
  <si>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</si>
  <si>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</si>
  <si>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</si>
  <si>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</si>
  <si>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</si>
  <si>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</si>
  <si>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  <phoneticPr fontId="4" type="noConversion"/>
  </si>
  <si>
    <t>python</t>
    <phoneticPr fontId="4" type="noConversion"/>
  </si>
  <si>
    <t>python-爬虫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</si>
</sst>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;@"/>
    <numFmt numFmtId="177" formatCode="yyyy/m/d;@"/>
    <numFmt numFmtId="178" formatCode="[$-F400]h:mm:ss\ AM/PM"/>
    <numFmt numFmtId="179" formatCode="0\ &quot;天&quot;"/>
  </numFmts>
  <fonts count="6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78" fontId="0" fillId="0" borderId="0">
      <alignment vertical="center"/>
    </xf>
  </cellStyleXfs>
  <cellXfs count="28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3" fillId="0" borderId="0" xfId="0" applyFont="1" applyAlignment="1">
      <alignment vertical="center"/>
    </xf>
    <xf numFmtId="178" fontId="2" fillId="0" borderId="0" xfId="0" applyNumberFormat="1" applyFont="1" applyAlignment="1">
      <alignment horizontal="center" vertical="center" wrapText="1"/>
    </xf>
    <xf numFmtId="178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9" fontId="5" fillId="2" borderId="0" xfId="0" applyNumberFormat="1" applyFont="1" applyFill="1" applyAlignment="1">
      <alignment horizontal="center" vertical="center" wrapText="1"/>
    </xf>
    <xf numFmtId="179" fontId="2" fillId="0" borderId="0" xfId="0" applyNumberFormat="1" applyFont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8" fontId="2" fillId="0" borderId="2" xfId="0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center" wrapText="1"/>
    </xf>
    <xf numFmtId="178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top" wrapText="1"/>
    </xf>
    <xf numFmtId="178" fontId="2" fillId="0" borderId="3" xfId="0" applyNumberFormat="1" applyFont="1" applyBorder="1" applyAlignment="1">
      <alignment horizontal="left" vertical="center" wrapText="1"/>
    </xf>
  </cellXfs>
  <cellStyles count="1">
    <cellStyle name="常规" xfId="0" builtinId="0"/>
  </cellStyles>
  <dxfs count="11"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activeCell="H6" sqref="H6"/>
    </sheetView>
  </sheetViews>
  <sheetFormatPr defaultColWidth="19.5" defaultRowHeight="16.5"/>
  <cols>
    <col min="1" max="1" width="10.125" style="18" bestFit="1" customWidth="1"/>
    <col min="2" max="2" width="17.5" style="19" bestFit="1" customWidth="1"/>
    <col min="3" max="3" width="20.375" style="20" customWidth="1"/>
    <col min="4" max="4" width="18.625" style="21" bestFit="1" customWidth="1"/>
    <col min="5" max="5" width="8.5" style="14" customWidth="1"/>
    <col min="6" max="11" width="13.125" style="14" customWidth="1"/>
    <col min="12" max="16384" width="19.5" style="14"/>
  </cols>
  <sheetData>
    <row r="1" spans="1:11">
      <c r="F1" s="13"/>
      <c r="G1" s="13" t="s">
        <v>44</v>
      </c>
      <c r="H1" s="14" t="s">
        <v>45</v>
      </c>
    </row>
    <row r="2" spans="1:11" s="15" customFormat="1">
      <c r="A2" s="22"/>
      <c r="B2" s="23"/>
      <c r="C2" s="24"/>
      <c r="D2" s="25"/>
      <c r="F2" s="15">
        <v>42306</v>
      </c>
      <c r="G2" s="15">
        <v>42364</v>
      </c>
      <c r="H2" s="15">
        <v>42408</v>
      </c>
      <c r="I2" s="15">
        <v>42468</v>
      </c>
      <c r="J2" s="15">
        <v>42546</v>
      </c>
      <c r="K2" s="15">
        <v>42728</v>
      </c>
    </row>
    <row r="3" spans="1:11">
      <c r="F3" s="13"/>
      <c r="G3" s="16">
        <f ca="1">G2-TODAY()</f>
        <v>57</v>
      </c>
      <c r="H3" s="17">
        <f ca="1">H2-TODAY()</f>
        <v>101</v>
      </c>
      <c r="I3" s="17">
        <f ca="1">I2-TODAY()</f>
        <v>161</v>
      </c>
      <c r="J3" s="17">
        <f ca="1">J2-TODAY()</f>
        <v>239</v>
      </c>
      <c r="K3" s="17">
        <f ca="1">K2-TODAY()</f>
        <v>421</v>
      </c>
    </row>
    <row r="5" spans="1:11" ht="66">
      <c r="A5" s="18" t="s">
        <v>46</v>
      </c>
      <c r="B5" s="19" t="s">
        <v>61</v>
      </c>
      <c r="C5" s="26" t="s">
        <v>25</v>
      </c>
      <c r="D5" s="27" t="s">
        <v>14</v>
      </c>
    </row>
    <row r="6" spans="1:11">
      <c r="A6" s="18" t="s">
        <v>95</v>
      </c>
      <c r="B6" s="19" t="s">
        <v>96</v>
      </c>
    </row>
    <row r="7" spans="1:11">
      <c r="A7" s="18" t="s">
        <v>46</v>
      </c>
      <c r="B7" s="19" t="s">
        <v>75</v>
      </c>
    </row>
    <row r="8" spans="1:11">
      <c r="A8" s="18" t="s">
        <v>46</v>
      </c>
      <c r="B8" s="19" t="s">
        <v>76</v>
      </c>
      <c r="C8" s="20" t="s">
        <v>94</v>
      </c>
    </row>
    <row r="9" spans="1:11">
      <c r="A9" s="18" t="s">
        <v>73</v>
      </c>
      <c r="B9" s="19" t="s">
        <v>62</v>
      </c>
      <c r="C9" s="20" t="s">
        <v>49</v>
      </c>
    </row>
    <row r="10" spans="1:11">
      <c r="A10" s="18" t="s">
        <v>73</v>
      </c>
      <c r="B10" s="19" t="s">
        <v>63</v>
      </c>
    </row>
    <row r="11" spans="1:11">
      <c r="A11" s="18" t="s">
        <v>73</v>
      </c>
      <c r="B11" s="19" t="s">
        <v>64</v>
      </c>
      <c r="C11" s="19"/>
    </row>
    <row r="12" spans="1:11" ht="21" customHeight="1">
      <c r="A12" s="18" t="s">
        <v>73</v>
      </c>
      <c r="B12" s="19" t="s">
        <v>66</v>
      </c>
      <c r="C12" s="26" t="s">
        <v>72</v>
      </c>
    </row>
    <row r="13" spans="1:11" ht="18.75" customHeight="1">
      <c r="A13" s="18" t="s">
        <v>73</v>
      </c>
      <c r="B13" s="19" t="s">
        <v>67</v>
      </c>
      <c r="C13" s="26" t="s">
        <v>71</v>
      </c>
    </row>
    <row r="14" spans="1:11" ht="49.5">
      <c r="A14" s="18" t="s">
        <v>73</v>
      </c>
      <c r="B14" s="19" t="s">
        <v>65</v>
      </c>
      <c r="C14" s="26" t="s">
        <v>69</v>
      </c>
    </row>
    <row r="15" spans="1:11" ht="33">
      <c r="A15" s="18" t="s">
        <v>73</v>
      </c>
      <c r="B15" s="19" t="s">
        <v>68</v>
      </c>
      <c r="C15" s="26" t="s">
        <v>70</v>
      </c>
    </row>
    <row r="16" spans="1:11">
      <c r="A16" s="18" t="s">
        <v>74</v>
      </c>
      <c r="B16" s="19" t="s">
        <v>77</v>
      </c>
    </row>
    <row r="17" spans="1:2">
      <c r="A17" s="18" t="s">
        <v>74</v>
      </c>
      <c r="B17" s="19" t="s">
        <v>78</v>
      </c>
    </row>
    <row r="18" spans="1:2">
      <c r="A18" s="18" t="s">
        <v>74</v>
      </c>
      <c r="B18" s="19" t="s">
        <v>79</v>
      </c>
    </row>
    <row r="19" spans="1:2">
      <c r="A19" s="18" t="s">
        <v>74</v>
      </c>
      <c r="B19" s="19" t="s">
        <v>80</v>
      </c>
    </row>
    <row r="20" spans="1:2">
      <c r="A20" s="18" t="s">
        <v>74</v>
      </c>
      <c r="B20" s="19" t="s">
        <v>81</v>
      </c>
    </row>
  </sheetData>
  <phoneticPr fontId="4" type="noConversion"/>
  <conditionalFormatting sqref="A1:D5 A7:D1048576">
    <cfRule type="expression" dxfId="8" priority="4">
      <formula>$A1="graduate"</formula>
    </cfRule>
    <cfRule type="expression" dxfId="7" priority="5">
      <formula>$A1="CS"</formula>
    </cfRule>
    <cfRule type="expression" dxfId="6" priority="6">
      <formula>$A1="python"</formula>
    </cfRule>
  </conditionalFormatting>
  <conditionalFormatting sqref="A6:D6">
    <cfRule type="expression" dxfId="5" priority="1">
      <formula>$A6="graduate"</formula>
    </cfRule>
    <cfRule type="expression" dxfId="4" priority="2">
      <formula>$A6="CS"</formula>
    </cfRule>
    <cfRule type="expression" dxfId="3" priority="3">
      <formula>$A6="python"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I8" sqref="I8"/>
    </sheetView>
  </sheetViews>
  <sheetFormatPr defaultColWidth="9" defaultRowHeight="16.5"/>
  <cols>
    <col min="1" max="1" width="21.375" style="5" customWidth="1"/>
    <col min="2" max="2" width="9" style="6"/>
    <col min="3" max="3" width="43.25" style="6" customWidth="1"/>
    <col min="4" max="4" width="6" style="7" customWidth="1"/>
    <col min="5" max="5" width="9.5" style="8" customWidth="1"/>
    <col min="6" max="16384" width="9" style="6"/>
  </cols>
  <sheetData>
    <row r="1" spans="1:6">
      <c r="A1" s="9" t="s">
        <v>4</v>
      </c>
      <c r="B1" s="6" t="s">
        <v>50</v>
      </c>
      <c r="C1" s="10" t="s">
        <v>5</v>
      </c>
      <c r="D1" s="11" t="s">
        <v>6</v>
      </c>
      <c r="E1" s="8" t="s">
        <v>37</v>
      </c>
      <c r="F1" s="6" t="s">
        <v>35</v>
      </c>
    </row>
    <row r="2" spans="1:6">
      <c r="A2" s="5" t="s">
        <v>7</v>
      </c>
      <c r="B2" s="6" t="s">
        <v>51</v>
      </c>
      <c r="C2" s="6" t="s">
        <v>48</v>
      </c>
      <c r="D2" s="7">
        <v>0</v>
      </c>
      <c r="E2" s="8">
        <f>SUMIF(Sheet3!B:B,C2,Sheet3!C:C)</f>
        <v>0.26041666666666674</v>
      </c>
    </row>
    <row r="3" spans="1:6">
      <c r="A3" s="5" t="s">
        <v>39</v>
      </c>
      <c r="B3" s="6" t="s">
        <v>89</v>
      </c>
      <c r="C3" s="6" t="s">
        <v>12</v>
      </c>
      <c r="D3" s="7">
        <v>0</v>
      </c>
      <c r="E3" s="8">
        <f>SUMIF(Sheet3!B:B,C3,Sheet3!C:C)</f>
        <v>0.10416666666666666</v>
      </c>
    </row>
    <row r="4" spans="1:6">
      <c r="A4" s="9" t="s">
        <v>9</v>
      </c>
      <c r="B4" s="6" t="s">
        <v>52</v>
      </c>
      <c r="C4" s="9" t="s">
        <v>10</v>
      </c>
      <c r="D4" s="7">
        <v>0</v>
      </c>
      <c r="E4" s="8">
        <f>SUMIF(Sheet3!B:B,C4,Sheet3!C:C)</f>
        <v>0.100694444444444</v>
      </c>
    </row>
    <row r="5" spans="1:6">
      <c r="A5" s="5" t="s">
        <v>41</v>
      </c>
      <c r="B5" s="6" t="s">
        <v>90</v>
      </c>
      <c r="C5" s="6" t="s">
        <v>36</v>
      </c>
      <c r="D5" s="7">
        <v>0</v>
      </c>
      <c r="E5" s="8">
        <f>SUMIF(Sheet3!B:B,C5,Sheet3!C:C)</f>
        <v>4.5138888888888888E-2</v>
      </c>
    </row>
    <row r="6" spans="1:6">
      <c r="A6" s="5" t="s">
        <v>9</v>
      </c>
      <c r="B6" s="6" t="s">
        <v>53</v>
      </c>
      <c r="C6" s="5" t="s">
        <v>25</v>
      </c>
      <c r="D6" s="7">
        <v>0</v>
      </c>
      <c r="E6" s="8">
        <f>SUMIF(Sheet3!B:B,C6,Sheet3!C:C)</f>
        <v>2.0833333333333332E-2</v>
      </c>
    </row>
    <row r="7" spans="1:6">
      <c r="A7" s="5" t="s">
        <v>40</v>
      </c>
      <c r="B7" s="6" t="s">
        <v>82</v>
      </c>
      <c r="C7" s="6" t="s">
        <v>47</v>
      </c>
      <c r="D7" s="7">
        <v>0</v>
      </c>
      <c r="E7" s="8">
        <f>SUMIF(Sheet3!B:B,C7,Sheet3!C:C)</f>
        <v>0</v>
      </c>
    </row>
    <row r="8" spans="1:6">
      <c r="A8" s="5" t="s">
        <v>42</v>
      </c>
      <c r="B8" s="6" t="s">
        <v>54</v>
      </c>
      <c r="C8" s="6" t="s">
        <v>43</v>
      </c>
      <c r="D8" s="7">
        <v>1</v>
      </c>
      <c r="E8" s="8">
        <f>SUMIF(Sheet3!B:B,C8,Sheet3!C:C)</f>
        <v>0</v>
      </c>
    </row>
    <row r="9" spans="1:6">
      <c r="A9" s="5" t="s">
        <v>42</v>
      </c>
      <c r="B9" s="6" t="s">
        <v>55</v>
      </c>
      <c r="C9" s="5" t="s">
        <v>13</v>
      </c>
      <c r="D9" s="7">
        <v>1</v>
      </c>
      <c r="E9" s="8">
        <f>SUMIF(Sheet3!B:B,C9,Sheet3!C:C)</f>
        <v>0</v>
      </c>
    </row>
    <row r="10" spans="1:6">
      <c r="A10" s="5" t="s">
        <v>42</v>
      </c>
      <c r="B10" s="6" t="s">
        <v>56</v>
      </c>
      <c r="C10" s="5" t="s">
        <v>14</v>
      </c>
      <c r="D10" s="7">
        <v>1</v>
      </c>
      <c r="E10" s="8">
        <f>SUMIF(Sheet3!B:B,C10,Sheet3!C:C)</f>
        <v>0</v>
      </c>
    </row>
    <row r="11" spans="1:6">
      <c r="A11" s="5" t="s">
        <v>42</v>
      </c>
      <c r="B11" s="6" t="s">
        <v>57</v>
      </c>
      <c r="C11" s="5" t="s">
        <v>15</v>
      </c>
      <c r="D11" s="7">
        <v>1</v>
      </c>
      <c r="E11" s="8">
        <f>SUMIF(Sheet3!B:B,C11,Sheet3!C:C)</f>
        <v>0</v>
      </c>
    </row>
    <row r="12" spans="1:6">
      <c r="A12" s="5" t="s">
        <v>42</v>
      </c>
      <c r="B12" s="6" t="s">
        <v>58</v>
      </c>
      <c r="C12" s="5" t="s">
        <v>24</v>
      </c>
      <c r="D12" s="7">
        <v>1</v>
      </c>
      <c r="E12" s="8">
        <f>SUMIF(Sheet3!B:B,C12,Sheet3!C:C)</f>
        <v>0</v>
      </c>
    </row>
    <row r="13" spans="1:6">
      <c r="A13" s="5" t="s">
        <v>11</v>
      </c>
      <c r="B13" s="6" t="s">
        <v>83</v>
      </c>
      <c r="C13" s="6" t="s">
        <v>27</v>
      </c>
      <c r="D13" s="7">
        <v>1</v>
      </c>
      <c r="E13" s="8">
        <f>SUMIF(Sheet3!B:B,C13,Sheet3!C:C)</f>
        <v>0</v>
      </c>
    </row>
    <row r="14" spans="1:6">
      <c r="A14" s="5" t="s">
        <v>16</v>
      </c>
      <c r="B14" s="6" t="s">
        <v>85</v>
      </c>
      <c r="C14" s="5" t="s">
        <v>16</v>
      </c>
      <c r="D14" s="7">
        <v>1</v>
      </c>
      <c r="E14" s="8">
        <f>SUMIF(Sheet3!B:B,C14,Sheet3!C:C)</f>
        <v>0</v>
      </c>
    </row>
    <row r="15" spans="1:6">
      <c r="A15" s="5" t="s">
        <v>16</v>
      </c>
      <c r="B15" s="6" t="s">
        <v>86</v>
      </c>
      <c r="C15" s="6" t="s">
        <v>28</v>
      </c>
      <c r="D15" s="7">
        <v>1</v>
      </c>
      <c r="E15" s="8">
        <f>SUMIF(Sheet3!B:B,C15,Sheet3!C:C)</f>
        <v>0</v>
      </c>
    </row>
    <row r="16" spans="1:6">
      <c r="A16" s="5" t="s">
        <v>16</v>
      </c>
      <c r="B16" s="6" t="s">
        <v>87</v>
      </c>
      <c r="C16" s="6" t="s">
        <v>29</v>
      </c>
      <c r="D16" s="7">
        <v>1</v>
      </c>
      <c r="E16" s="8">
        <f>SUMIF(Sheet3!B:B,C16,Sheet3!C:C)</f>
        <v>0</v>
      </c>
    </row>
    <row r="17" spans="1:6">
      <c r="A17" s="5" t="s">
        <v>17</v>
      </c>
      <c r="B17" s="6" t="s">
        <v>91</v>
      </c>
      <c r="C17" s="6" t="s">
        <v>18</v>
      </c>
      <c r="D17" s="7">
        <v>1</v>
      </c>
      <c r="E17" s="8">
        <f>SUMIF(Sheet3!B:B,C17,Sheet3!C:C)</f>
        <v>0</v>
      </c>
    </row>
    <row r="18" spans="1:6">
      <c r="A18" s="5" t="s">
        <v>17</v>
      </c>
      <c r="B18" s="6" t="s">
        <v>92</v>
      </c>
      <c r="C18" s="6" t="s">
        <v>19</v>
      </c>
      <c r="D18" s="7">
        <v>1</v>
      </c>
      <c r="E18" s="8">
        <f>SUMIF(Sheet3!B:B,C18,Sheet3!C:C)</f>
        <v>0</v>
      </c>
    </row>
    <row r="19" spans="1:6">
      <c r="A19" s="5" t="s">
        <v>9</v>
      </c>
      <c r="B19" s="6" t="s">
        <v>59</v>
      </c>
      <c r="C19" s="5" t="s">
        <v>20</v>
      </c>
      <c r="D19" s="7">
        <v>2</v>
      </c>
      <c r="E19" s="8">
        <f>SUMIF(Sheet3!B:B,C19,Sheet3!C:C)</f>
        <v>0</v>
      </c>
    </row>
    <row r="20" spans="1:6">
      <c r="A20" s="5" t="s">
        <v>9</v>
      </c>
      <c r="B20" s="6" t="s">
        <v>60</v>
      </c>
      <c r="C20" s="5" t="s">
        <v>26</v>
      </c>
      <c r="D20" s="7">
        <v>2</v>
      </c>
      <c r="E20" s="8">
        <f>SUMIF(Sheet3!B:B,C20,Sheet3!C:C)</f>
        <v>0</v>
      </c>
    </row>
    <row r="21" spans="1:6">
      <c r="A21" s="5" t="s">
        <v>16</v>
      </c>
      <c r="B21" s="6" t="s">
        <v>88</v>
      </c>
      <c r="C21" s="6" t="s">
        <v>30</v>
      </c>
      <c r="D21" s="7">
        <v>2</v>
      </c>
      <c r="E21" s="8">
        <f>SUMIF(Sheet3!B:B,C21,Sheet3!C:C)</f>
        <v>0</v>
      </c>
    </row>
    <row r="22" spans="1:6">
      <c r="A22" s="5" t="s">
        <v>17</v>
      </c>
      <c r="B22" s="6" t="s">
        <v>93</v>
      </c>
      <c r="C22" s="6" t="s">
        <v>31</v>
      </c>
      <c r="D22" s="7">
        <v>2</v>
      </c>
      <c r="E22" s="8">
        <f>SUMIF(Sheet3!B:B,C22,Sheet3!C:C)</f>
        <v>0</v>
      </c>
    </row>
    <row r="23" spans="1:6">
      <c r="A23" s="9" t="s">
        <v>21</v>
      </c>
      <c r="B23" s="6" t="s">
        <v>84</v>
      </c>
      <c r="C23" s="10" t="s">
        <v>22</v>
      </c>
      <c r="D23" s="7">
        <v>5</v>
      </c>
      <c r="E23" s="8">
        <f>SUMIF(Sheet3!B:B,C23,Sheet3!C:C)</f>
        <v>1.4583333333332948E-2</v>
      </c>
      <c r="F23" s="12" t="s">
        <v>23</v>
      </c>
    </row>
  </sheetData>
  <autoFilter ref="A1:F23"/>
  <sortState ref="A2:F23">
    <sortCondition ref="D2:D23"/>
    <sortCondition descending="1" ref="E2:E23"/>
  </sortState>
  <phoneticPr fontId="4" type="noConversion"/>
  <conditionalFormatting sqref="A1:F1048576">
    <cfRule type="expression" dxfId="2" priority="1">
      <formula>$D2=100</formula>
    </cfRule>
    <cfRule type="expression" dxfId="1" priority="5">
      <formula>$D3=100</formula>
    </cfRule>
  </conditionalFormatting>
  <conditionalFormatting sqref="A1:F23">
    <cfRule type="expression" dxfId="0" priority="2">
      <formula>$D1=0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C14" sqref="C14"/>
    </sheetView>
  </sheetViews>
  <sheetFormatPr defaultColWidth="9" defaultRowHeight="13.5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>
      <c r="A1" s="1" t="s">
        <v>32</v>
      </c>
      <c r="B1" t="s">
        <v>33</v>
      </c>
      <c r="C1" s="4" t="s">
        <v>3</v>
      </c>
      <c r="D1" s="2" t="s">
        <v>1</v>
      </c>
      <c r="E1" s="2" t="s">
        <v>2</v>
      </c>
      <c r="F1" s="3" t="s">
        <v>0</v>
      </c>
    </row>
    <row r="2" spans="1:6">
      <c r="A2" s="1">
        <v>42300</v>
      </c>
      <c r="B2" t="s">
        <v>8</v>
      </c>
      <c r="C2" s="2">
        <v>4.1666666666666699E-2</v>
      </c>
      <c r="F2" s="3">
        <f t="shared" ref="F2:F13" ca="1" si="0">TODAY()-A2</f>
        <v>7</v>
      </c>
    </row>
    <row r="3" spans="1:6">
      <c r="A3" s="1">
        <v>42300</v>
      </c>
      <c r="B3" t="s">
        <v>12</v>
      </c>
      <c r="C3" s="2">
        <v>6.25E-2</v>
      </c>
      <c r="F3" s="3">
        <f t="shared" ca="1" si="0"/>
        <v>7</v>
      </c>
    </row>
    <row r="4" spans="1:6">
      <c r="A4" s="1">
        <v>42301</v>
      </c>
      <c r="B4" t="s">
        <v>34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6</v>
      </c>
    </row>
    <row r="5" spans="1:6">
      <c r="A5" s="1">
        <v>42302</v>
      </c>
      <c r="B5" t="s">
        <v>22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5</v>
      </c>
    </row>
    <row r="6" spans="1:6">
      <c r="A6" s="1">
        <v>42303</v>
      </c>
      <c r="B6" t="s">
        <v>8</v>
      </c>
      <c r="C6" s="2">
        <v>4.1666666666666699E-2</v>
      </c>
      <c r="F6" s="3">
        <f t="shared" ca="1" si="0"/>
        <v>4</v>
      </c>
    </row>
    <row r="7" spans="1:6">
      <c r="A7" s="1">
        <v>42303</v>
      </c>
      <c r="B7" t="s">
        <v>12</v>
      </c>
      <c r="C7" s="2">
        <v>4.1666666666666664E-2</v>
      </c>
      <c r="F7" s="3">
        <f t="shared" ca="1" si="0"/>
        <v>4</v>
      </c>
    </row>
    <row r="8" spans="1:6">
      <c r="A8" s="1">
        <v>42304</v>
      </c>
      <c r="B8" t="s">
        <v>8</v>
      </c>
      <c r="C8" s="2">
        <v>6.25E-2</v>
      </c>
      <c r="F8" s="3">
        <f t="shared" ca="1" si="0"/>
        <v>3</v>
      </c>
    </row>
    <row r="9" spans="1:6">
      <c r="A9" s="1">
        <v>42304</v>
      </c>
      <c r="B9" t="s">
        <v>25</v>
      </c>
      <c r="C9" s="2">
        <v>2.0833333333333332E-2</v>
      </c>
      <c r="F9" s="3">
        <f t="shared" ca="1" si="0"/>
        <v>3</v>
      </c>
    </row>
    <row r="10" spans="1:6">
      <c r="A10" s="1">
        <v>42305</v>
      </c>
      <c r="B10" t="s">
        <v>8</v>
      </c>
      <c r="C10" s="2">
        <v>3.125E-2</v>
      </c>
      <c r="F10" s="3">
        <f t="shared" ca="1" si="0"/>
        <v>2</v>
      </c>
    </row>
    <row r="11" spans="1:6">
      <c r="A11" s="1">
        <v>42305</v>
      </c>
      <c r="B11" t="s">
        <v>38</v>
      </c>
      <c r="C11" s="2">
        <v>4.5138888888888888E-2</v>
      </c>
      <c r="F11" s="3">
        <f t="shared" ca="1" si="0"/>
        <v>2</v>
      </c>
    </row>
    <row r="12" spans="1:6">
      <c r="A12" s="1">
        <v>42306</v>
      </c>
      <c r="B12" t="s">
        <v>8</v>
      </c>
      <c r="C12" s="2">
        <v>4.1666666666666664E-2</v>
      </c>
      <c r="F12" s="3">
        <f t="shared" ca="1" si="0"/>
        <v>1</v>
      </c>
    </row>
    <row r="13" spans="1:6">
      <c r="A13" s="1">
        <v>42307</v>
      </c>
      <c r="B13" t="s">
        <v>8</v>
      </c>
      <c r="C13" s="2">
        <v>4.1666666666666664E-2</v>
      </c>
      <c r="F13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2015-10-30T02:47:57Z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